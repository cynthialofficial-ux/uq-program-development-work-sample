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adfcb12b9042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b56891c9bcf84405"/>
    <x:sheet xmlns:r="http://schemas.openxmlformats.org/officeDocument/2006/relationships" name="Evidence Register" sheetId="2" r:id="R29e2842c2cb1460f"/>
    <x:sheet xmlns:r="http://schemas.openxmlformats.org/officeDocument/2006/relationships" name="Comparator Review" sheetId="3" r:id="R1eeccff1c6354534"/>
    <x:sheet xmlns:r="http://schemas.openxmlformats.org/officeDocument/2006/relationships" name="Data Pull Spec" sheetId="4" r:id="Re0f24533021f4555"/>
    <x:sheet xmlns:r="http://schemas.openxmlformats.org/officeDocument/2006/relationships" name="Demand Model" sheetId="5" r:id="R82cad6206cc6427d"/>
    <x:sheet xmlns:r="http://schemas.openxmlformats.org/officeDocument/2006/relationships" name="Pricing &amp; Viability" sheetId="6" r:id="R3f3f0a2dc65c49b9"/>
    <x:sheet xmlns:r="http://schemas.openxmlformats.org/officeDocument/2006/relationships" name="Decision Note" sheetId="7" r:id="R0f135a1a795b4965"/>
    <x:sheet xmlns:r="http://schemas.openxmlformats.org/officeDocument/2006/relationships" name="Stakeholder Workplan" sheetId="8" r:id="R3247e54f13e94f2b"/>
    <x:sheet xmlns:r="http://schemas.openxmlformats.org/officeDocument/2006/relationships" name="Sources" sheetId="9" r:id="Rc357464b3bdb43b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%"/>
    <x:numFmt numFmtId="201" formatCode="0.00"/>
    <x:numFmt numFmtId="202" formatCode="0.0"/>
    <x:numFmt numFmtId="203" formatCode="$#,##0"/>
  </x:numFmts>
  <x:fonts count="4">
    <x:font>
      <x:sz val="11"/>
      <x:name val="Carlito"/>
    </x:font>
    <x:font>
      <x:b/>
      <x:sz val="15"/>
      <x:color rgb="FFFFFFFF"/>
      <x:name val="Carlito"/>
    </x:font>
    <x:font>
      <x:sz val="11"/>
      <x:color rgb="FF2B2B2B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51247A"/>
      </x:patternFill>
    </x:fill>
    <x:fill>
      <x:patternFill patternType="solid">
        <x:fgColor rgb="FFF5F2F7"/>
      </x:patternFill>
    </x:fill>
    <x:fill>
      <x:patternFill patternType="solid">
        <x:fgColor rgb="FF2E1A47"/>
      </x:patternFill>
    </x:fill>
  </x:fills>
  <x:borders count="2">
    <x:border/>
    <x:border/>
  </x:borders>
  <x:cellStyleXfs count="1">
    <x:xf numFmtId="0" fontId="0" fillId="0" borderId="0"/>
  </x:cellStyleXfs>
  <x:cellXfs count="4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3" fontId="0" fillId="0" borderId="0" xfId="0" applyNumberFormat="1" applyFont="1" applyFill="1" applyBorder="1" applyAlignment="1">
      <x:alignment wrapText="1"/>
    </x:xf>
    <x:xf numFmtId="203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6">
    <x:dxf>
      <x:fill>
        <x:patternFill patternType="solid">
          <x:bgColor rgb="FFE7F2E8"/>
        </x:patternFill>
      </x:fill>
    </x:dxf>
    <x:dxf>
      <x:fill>
        <x:patternFill patternType="solid">
          <x:bgColor rgb="FFFFF4D6"/>
        </x:patternFill>
      </x:fill>
    </x:dxf>
    <x:dxf>
      <x:fill>
        <x:patternFill patternType="solid">
          <x:bgColor rgb="FFFCE8E6"/>
        </x:patternFill>
      </x:fill>
    </x:dxf>
    <x:dxf>
      <x:fill>
        <x:patternFill patternType="solid">
          <x:bgColor rgb="FFE7F2E8"/>
        </x:patternFill>
      </x:fill>
    </x:dxf>
    <x:dxf>
      <x:fill>
        <x:patternFill patternType="solid">
          <x:bgColor rgb="FFFFF4D6"/>
        </x:patternFill>
      </x:fill>
    </x:dxf>
    <x:dxf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412dddf0a8e40af" /><Relationship Type="http://schemas.openxmlformats.org/officeDocument/2006/relationships/theme" Target="/xl/theme/theme1.xml" Id="R6341540aee064791" /><Relationship Type="http://schemas.openxmlformats.org/officeDocument/2006/relationships/sharedStrings" Target="/xl/sharedStrings.xml" Id="R9c191267df804416" /><Relationship Type="http://schemas.openxmlformats.org/officeDocument/2006/relationships/worksheet" Target="/xl/worksheets/sheet1.xml" Id="Rb56891c9bcf84405" /><Relationship Type="http://schemas.openxmlformats.org/officeDocument/2006/relationships/worksheet" Target="/xl/worksheets/sheet2.xml" Id="R29e2842c2cb1460f" /><Relationship Type="http://schemas.openxmlformats.org/officeDocument/2006/relationships/worksheet" Target="/xl/worksheets/sheet3.xml" Id="R1eeccff1c6354534" /><Relationship Type="http://schemas.openxmlformats.org/officeDocument/2006/relationships/worksheet" Target="/xl/worksheets/sheet4.xml" Id="Re0f24533021f4555" /><Relationship Type="http://schemas.openxmlformats.org/officeDocument/2006/relationships/worksheet" Target="/xl/worksheets/sheet5.xml" Id="R82cad6206cc6427d" /><Relationship Type="http://schemas.openxmlformats.org/officeDocument/2006/relationships/worksheet" Target="/xl/worksheets/sheet6.xml" Id="R3f3f0a2dc65c49b9" /><Relationship Type="http://schemas.openxmlformats.org/officeDocument/2006/relationships/worksheet" Target="/xl/worksheets/sheet7.xml" Id="R0f135a1a795b4965" /><Relationship Type="http://schemas.openxmlformats.org/officeDocument/2006/relationships/worksheet" Target="/xl/worksheets/sheet8.xml" Id="R3247e54f13e94f2b" /><Relationship Type="http://schemas.openxmlformats.org/officeDocument/2006/relationships/worksheet" Target="/xl/worksheets/sheet9.xml" Id="Rc357464b3bdb43b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74" hidden="0" customWidth="1"/>
  </x:cols>
  <x:sheetData>
    <x:row r="1" ht="30" customHeight="1">
      <x:c r="A1" s="6" t="str">
        <x:v>UQ Program Development Analysis Work Sample</x:v>
      </x:c>
      <x:c r="B1" s="6" t="str">
        <x:v>UQ Program Development Analysis Work Sample</x:v>
      </x:c>
      <x:c r="C1" s="6" t="str">
        <x:v>UQ Program Development Analysis Work Sample</x:v>
      </x:c>
      <x:c r="D1" s="6" t="str">
        <x:v>UQ Program Development Analysis Work Sample</x:v>
      </x:c>
      <x:c r="E1" s="6" t="str">
        <x:v>UQ Program Development Analysis Work Sample</x:v>
      </x:c>
      <x:c r="F1" s="6" t="str">
        <x:v>UQ Program Development Analysis Work Sample</x:v>
      </x:c>
      <x:c r="G1" s="6" t="str">
        <x:v>UQ Program Development Analysis Work Sample</x:v>
      </x:c>
      <x:c r="H1" s="6" t="str">
        <x:v>UQ Program Development Analysis Work Sample</x:v>
      </x:c>
    </x:row>
    <x:row r="3">
      <x:c r="A3" s="12" t="str">
        <x:v>Independent recruitment work sample for the Senior Program Development Analyst role. The illustrative case is a short-form postgraduate program concept. The workbook is designed to show how I would structure evidence, request data, test demand/load and pricing, and prepare a recommendation. It is not a proposal that UQ should launch the program.</x:v>
      </x:c>
      <x:c r="B3" s="12"/>
      <x:c r="C3" s="12"/>
      <x:c r="D3" s="12"/>
      <x:c r="E3" s="12"/>
      <x:c r="F3" s="12"/>
      <x:c r="G3" s="12"/>
      <x:c r="H3" s="12"/>
    </x:row>
    <x:row r="4">
      <x:c r="A4" s="12"/>
      <x:c r="B4" s="12"/>
      <x:c r="C4" s="12"/>
      <x:c r="D4" s="12"/>
      <x:c r="E4" s="12"/>
      <x:c r="F4" s="12"/>
      <x:c r="G4" s="12"/>
      <x:c r="H4" s="12"/>
    </x:row>
    <x:row r="6">
      <x:c r="A6" s="20" t="str">
        <x:v>What this workbook demonstrates</x:v>
      </x:c>
      <x:c r="B6" s="20" t="str">
        <x:v>Program-development analysis rather than a polished 'case study'.</x:v>
      </x:c>
    </x:row>
    <x:row r="7">
      <x:c r="A7" s="22" t="str">
        <x:v>Public facts</x:v>
      </x:c>
      <x:c r="B7" s="22" t="str">
        <x:v>UQ program pages, PBI pages, program approval policy and public sector / competitor information.</x:v>
      </x:c>
    </x:row>
    <x:row r="8">
      <x:c r="A8" s="22" t="str">
        <x:v>Internal evidence</x:v>
      </x:c>
      <x:c r="B8" s="22" t="str">
        <x:v>Clearly identified as data I would request from UQ Reportal, the Load Model or relevant central teams.</x:v>
      </x:c>
    </x:row>
    <x:row r="9">
      <x:c r="A9" s="22" t="str">
        <x:v>Synthetic assumptions</x:v>
      </x:c>
      <x:c r="B9" s="22" t="str">
        <x:v>Only used where a formula needs numbers to demonstrate the analytical method.</x:v>
      </x:c>
    </x:row>
    <x:row r="10">
      <x:c r="A10" s="22" t="str">
        <x:v>Decision principle</x:v>
      </x:c>
      <x:c r="B10" s="22" t="str">
        <x:v>If evidence is not strong enough, the recommendation can be to validate, reshape or stop.</x:v>
      </x:c>
    </x:row>
    <x:row r="11">
      <x:c r="A11" s="22" t="str">
        <x:v>Main outputs</x:v>
      </x:c>
      <x:c r="B11" s="22" t="str">
        <x:v>Evidence register, comparator review, data-pull specification, demand/load model, pricing/viability view and decision note.</x:v>
      </x:c>
    </x:row>
    <x:row r="12">
      <x:c r="A12" s="22" t="str">
        <x:v>Prepared by</x:v>
      </x:c>
      <x:c r="B12" s="22" t="str">
        <x:v>Yaxiya (Cynthia) Li</x:v>
      </x:c>
    </x:row>
    <x:row r="13">
      <x:c r="A13" s="22" t="str">
        <x:v>Date</x:v>
      </x:c>
      <x:c r="B13" s="22" t="str">
        <x:v>22 September 2026</x:v>
      </x:c>
    </x:row>
    <x:row r="14">
      <x:c r="A14" s="22" t="str">
        <x:v>Role</x:v>
      </x:c>
      <x:c r="B14" s="22" t="str">
        <x:v>Senior Program Development Analyst, Planning &amp; Business Intelligence (R-69143)</x:v>
      </x:c>
    </x:row>
  </x:sheetData>
  <x:mergeCells>
    <x:mergeCell ref="A1:H1"/>
    <x:mergeCell ref="A3:H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40" hidden="0" customWidth="1"/>
    <x:col min="3" max="3" width="46" hidden="0" customWidth="1"/>
    <x:col min="4" max="4" width="28" hidden="0" customWidth="1"/>
    <x:col min="5" max="5" width="28" hidden="0" customWidth="1"/>
    <x:col min="6" max="6" width="28" hidden="0" customWidth="1"/>
    <x:col min="7" max="7" width="38" hidden="0" customWidth="1"/>
    <x:col min="8" max="8" width="18" hidden="0" customWidth="1"/>
    <x:col min="9" max="9" width="28" hidden="0" customWidth="1"/>
    <x:col min="10" max="10" width="32" hidden="0" customWidth="1"/>
  </x:cols>
  <x:sheetData>
    <x:row r="1" ht="30" customHeight="1">
      <x:c r="A1" s="6" t="str">
        <x:v>Business Case Evidence Register</x:v>
      </x:c>
      <x:c r="B1" s="6" t="str">
        <x:v>Business Case Evidence Register</x:v>
      </x:c>
      <x:c r="C1" s="6" t="str">
        <x:v>Business Case Evidence Register</x:v>
      </x:c>
      <x:c r="D1" s="6" t="str">
        <x:v>Business Case Evidence Register</x:v>
      </x:c>
      <x:c r="E1" s="6" t="str">
        <x:v>Business Case Evidence Register</x:v>
      </x:c>
      <x:c r="F1" s="6" t="str">
        <x:v>Business Case Evidence Register</x:v>
      </x:c>
      <x:c r="G1" s="6" t="str">
        <x:v>Business Case Evidence Register</x:v>
      </x:c>
      <x:c r="H1" s="6" t="str">
        <x:v>Business Case Evidence Register</x:v>
      </x:c>
      <x:c r="I1" s="6" t="str">
        <x:v>Business Case Evidence Register</x:v>
      </x:c>
      <x:c r="J1" s="6" t="str">
        <x:v>Business Case Evidence Register</x:v>
      </x:c>
    </x:row>
    <x:row r="3">
      <x:c r="A3" s="20" t="str">
        <x:v>Business-case question</x:v>
      </x:c>
      <x:c r="B3" s="20" t="str">
        <x:v>What is already public</x:v>
      </x:c>
      <x:c r="C3" s="20" t="str">
        <x:v>Internal evidence I would request</x:v>
      </x:c>
      <x:c r="D3" s="20" t="str">
        <x:v>Measure / cut</x:v>
      </x:c>
      <x:c r="E3" s="20" t="str">
        <x:v>Likely UQ source</x:v>
      </x:c>
      <x:c r="F3" s="20" t="str">
        <x:v>Primary stakeholder</x:v>
      </x:c>
      <x:c r="G3" s="20" t="str">
        <x:v>Quality check</x:v>
      </x:c>
      <x:c r="H3" s="20" t="str">
        <x:v>Current status</x:v>
      </x:c>
      <x:c r="I3" s="20" t="str">
        <x:v>Decision use</x:v>
      </x:c>
      <x:c r="J3" s="20" t="str">
        <x:v>Next action</x:v>
      </x:c>
    </x:row>
    <x:row r="4">
      <x:c r="A4" s="22" t="str">
        <x:v>Is the concept strategically relevant?</x:v>
      </x:c>
      <x:c r="B4" s="22" t="str">
        <x:v>UQ strategy and PBI program-development remit</x:v>
      </x:c>
      <x:c r="C4" s="22" t="str">
        <x:v>Faculty priority, sponsor rationale, strategic objective</x:v>
      </x:c>
      <x:c r="D4" s="22" t="str">
        <x:v>Narrative + explicit strategic objective</x:v>
      </x:c>
      <x:c r="E4" s="22" t="str">
        <x:v>Faculty / PBI</x:v>
      </x:c>
      <x:c r="F4" s="22" t="str">
        <x:v>Academic sponsor / PBI</x:v>
      </x:c>
      <x:c r="G4" s="22" t="str">
        <x:v>Confirm proposal solves a defined problem</x:v>
      </x:c>
      <x:c r="H4" s="22" t="str">
        <x:v>Partly evidenced</x:v>
      </x:c>
      <x:c r="I4" s="22" t="str">
        <x:v>Whether to spend more analysis effort</x:v>
      </x:c>
      <x:c r="J4" s="22" t="str">
        <x:v>Sponsor framing meeting</x:v>
      </x:c>
    </x:row>
    <x:row r="5">
      <x:c r="A5" s="22" t="str">
        <x:v>Does it duplicate existing UQ offerings?</x:v>
      </x:c>
      <x:c r="B5" s="22" t="str">
        <x:v>Published program portfolio and program approval requirement to address duplication</x:v>
      </x:c>
      <x:c r="C5" s="22" t="str">
        <x:v>Current enrolments, applications, field/plan overlap, pipeline and recent review findings</x:v>
      </x:c>
      <x:c r="D5" s="22" t="str">
        <x:v>Program/plan overlap; application and enrolment trend</x:v>
      </x:c>
      <x:c r="E5" s="22" t="str">
        <x:v>UQ Reportal + program portfolio</x:v>
      </x:c>
      <x:c r="F5" s="22" t="str">
        <x:v>PBI + Faculty</x:v>
      </x:c>
      <x:c r="G5" s="22" t="str">
        <x:v>Compare like-for-like cohort, AQF, mode and outcome</x:v>
      </x:c>
      <x:c r="H5" s="22" t="str">
        <x:v>Public evidence only</x:v>
      </x:c>
      <x:c r="I5" s="22" t="str">
        <x:v>Reshape / stop / continue</x:v>
      </x:c>
      <x:c r="J5" s="22" t="str">
        <x:v>Pull comparable program performance</x:v>
      </x:c>
    </x:row>
    <x:row r="6">
      <x:c r="A6" s="22" t="str">
        <x:v>Is there enough student demand?</x:v>
      </x:c>
      <x:c r="B6" s="22" t="str">
        <x:v>Public student scale and broad postgraduate profile</x:v>
      </x:c>
      <x:c r="C6" s="22" t="str">
        <x:v>Applications, offers, acceptances, commencements, source market, channel, residency</x:v>
      </x:c>
      <x:c r="D6" s="22" t="str">
        <x:v>Application -&gt; offer -&gt; acceptance -&gt; commencement</x:v>
      </x:c>
      <x:c r="E6" s="22" t="str">
        <x:v>Reportal / Future Students</x:v>
      </x:c>
      <x:c r="F6" s="22" t="str">
        <x:v>PBI + Future Students</x:v>
      </x:c>
      <x:c r="G6" s="22" t="str">
        <x:v>Separate enquiry, application and actual commencement</x:v>
      </x:c>
      <x:c r="H6" s="22" t="str">
        <x:v>Not evidenced</x:v>
      </x:c>
      <x:c r="I6" s="22" t="str">
        <x:v>Intake assumption</x:v>
      </x:c>
      <x:c r="J6" s="22" t="str">
        <x:v>Build 3-5 year demand trend</x:v>
      </x:c>
    </x:row>
    <x:row r="7">
      <x:c r="A7" s="22" t="str">
        <x:v>What load would the program generate?</x:v>
      </x:c>
      <x:c r="B7" s="22" t="str">
        <x:v>PBI load model uses historical data to project student load and income</x:v>
      </x:c>
      <x:c r="C7" s="22" t="str">
        <x:v>New / returning EFTSL, retention, program equivalent year, funding type</x:v>
      </x:c>
      <x:c r="D7" s="22" t="str">
        <x:v>EFTSL by semester and year</x:v>
      </x:c>
      <x:c r="E7" s="22" t="str">
        <x:v>Load Model / Reportal</x:v>
      </x:c>
      <x:c r="F7" s="22" t="str">
        <x:v>PBI Load Analysis</x:v>
      </x:c>
      <x:c r="G7" s="22" t="str">
        <x:v>Reconcile headcount to EFTSL; new vs returning</x:v>
      </x:c>
      <x:c r="H7" s="22" t="str">
        <x:v>Not evidenced</x:v>
      </x:c>
      <x:c r="I7" s="22" t="str">
        <x:v>Load / budget planning</x:v>
      </x:c>
      <x:c r="J7" s="22" t="str">
        <x:v>Model intake + retention</x:v>
      </x:c>
    </x:row>
    <x:row r="8">
      <x:c r="A8" s="22" t="str">
        <x:v>How should admissions targets be set?</x:v>
      </x:c>
      <x:c r="B8" s="22" t="str">
        <x:v>PBI manages admissions targets within strategic quality objectives</x:v>
      </x:c>
      <x:c r="C8" s="22" t="str">
        <x:v>Offer-round history, acceptance, yield, deferrals, target quality indicators</x:v>
      </x:c>
      <x:c r="D8" s="22" t="str">
        <x:v>Offers / acceptances / yield</x:v>
      </x:c>
      <x:c r="E8" s="22" t="str">
        <x:v>Reportal / admissions data</x:v>
      </x:c>
      <x:c r="F8" s="22" t="str">
        <x:v>PBI + Admissions</x:v>
      </x:c>
      <x:c r="G8" s="22" t="str">
        <x:v>Check target is feasible given observed conversion</x:v>
      </x:c>
      <x:c r="H8" s="22" t="str">
        <x:v>Not evidenced</x:v>
      </x:c>
      <x:c r="I8" s="22" t="str">
        <x:v>Offer target</x:v>
      </x:c>
      <x:c r="J8" s="22" t="str">
        <x:v>Calibrate offer-to-commencement funnel</x:v>
      </x:c>
    </x:row>
    <x:row r="9">
      <x:c r="A9" s="22" t="str">
        <x:v>What is the appropriate price / funding position?</x:v>
      </x:c>
      <x:c r="B9" s="22" t="str">
        <x:v>Published fees / CSP status for comparable programs</x:v>
      </x:c>
      <x:c r="C9" s="22" t="str">
        <x:v>Fee setting, funding type, competitor price, elasticity / conversion by price if available</x:v>
      </x:c>
      <x:c r="D9" s="22" t="str">
        <x:v>Annual / total fee; income per EFTSL</x:v>
      </x:c>
      <x:c r="E9" s="22" t="str">
        <x:v>Student Enrolments &amp; Fees + Finance</x:v>
      </x:c>
      <x:c r="F9" s="22" t="str">
        <x:v>PBI + Student Enrolments &amp; Fees</x:v>
      </x:c>
      <x:c r="G9" s="22" t="str">
        <x:v>Do not compare CSP contribution directly with full-fee price</x:v>
      </x:c>
      <x:c r="H9" s="22" t="str">
        <x:v>Partly evidenced</x:v>
      </x:c>
      <x:c r="I9" s="22" t="str">
        <x:v>Pricing recommendation</x:v>
      </x:c>
      <x:c r="J9" s="22" t="str">
        <x:v>Benchmark like-for-like programs</x:v>
      </x:c>
    </x:row>
    <x:row r="10">
      <x:c r="A10" s="22" t="str">
        <x:v>Is the program financially viable?</x:v>
      </x:c>
      <x:c r="B10" s="22" t="str">
        <x:v>No internal cost base is public</x:v>
      </x:c>
      <x:c r="C10" s="22" t="str">
        <x:v>Incremental teaching, admin, marketing, systems and delivery costs; load/income assumptions</x:v>
      </x:c>
      <x:c r="D10" s="22" t="str">
        <x:v>Revenue, incremental cost, contribution, break-even</x:v>
      </x:c>
      <x:c r="E10" s="22" t="str">
        <x:v>Finance + Load Model</x:v>
      </x:c>
      <x:c r="F10" s="22" t="str">
        <x:v>PBI + Faculty Finance</x:v>
      </x:c>
      <x:c r="G10" s="22" t="str">
        <x:v>Separate sunk/shared cost from incremental cost</x:v>
      </x:c>
      <x:c r="H10" s="22" t="str">
        <x:v>Not evidenced</x:v>
      </x:c>
      <x:c r="I10" s="22" t="str">
        <x:v>Business-case viability</x:v>
      </x:c>
      <x:c r="J10" s="22" t="str">
        <x:v>Build low/base/high sensitivity</x:v>
      </x:c>
    </x:row>
    <x:row r="11">
      <x:c r="A11" s="22" t="str">
        <x:v>Can UQ deliver it well?</x:v>
      </x:c>
      <x:c r="B11" s="22" t="str">
        <x:v>Program approval requires teaching/learning resource and stakeholder consultation</x:v>
      </x:c>
      <x:c r="C11" s="22" t="str">
        <x:v>Academic capacity, course availability, timetable, delivery mode, learning design, systems</x:v>
      </x:c>
      <x:c r="D11" s="22" t="str">
        <x:v>Resource/capacity constraints</x:v>
      </x:c>
      <x:c r="E11" s="22" t="str">
        <x:v>Faculty + ITaLI + Academic Policy</x:v>
      </x:c>
      <x:c r="F11" s="22" t="str">
        <x:v>Faculty / ITaLI</x:v>
      </x:c>
      <x:c r="G11" s="22" t="str">
        <x:v>Test delivery feasibility before launch date</x:v>
      </x:c>
      <x:c r="H11" s="22" t="str">
        <x:v>Not evidenced</x:v>
      </x:c>
      <x:c r="I11" s="22" t="str">
        <x:v>Timing / launch decision</x:v>
      </x:c>
      <x:c r="J11" s="22" t="str">
        <x:v>Delivery feasibility workshop</x:v>
      </x:c>
    </x:row>
    <x:row r="12">
      <x:c r="A12" s="22" t="str">
        <x:v>What policy / approval conditions apply?</x:v>
      </x:c>
      <x:c r="B12" s="22" t="str">
        <x:v>Program Development Business Case precedes detailed academic approval for new/major initiatives</x:v>
      </x:c>
      <x:c r="C12" s="22" t="str">
        <x:v>Proposal type, approval dates, submission requirements, Indigenous Engagement consultation</x:v>
      </x:c>
      <x:c r="D12" s="22" t="str">
        <x:v>Approval path and critical dates</x:v>
      </x:c>
      <x:c r="E12" s="22" t="str">
        <x:v>Policy / Program Bulletin</x:v>
      </x:c>
      <x:c r="F12" s="22" t="str">
        <x:v>Academic Policy &amp; Programs</x:v>
      </x:c>
      <x:c r="G12" s="22" t="str">
        <x:v>Use current controlled documents</x:v>
      </x:c>
      <x:c r="H12" s="22" t="str">
        <x:v>Publicly evidenced</x:v>
      </x:c>
      <x:c r="I12" s="22" t="str">
        <x:v>Governance / timeline</x:v>
      </x:c>
      <x:c r="J12" s="22" t="str">
        <x:v>Confirm proposal classification</x:v>
      </x:c>
    </x:row>
    <x:row r="13">
      <x:c r="A13" s="22" t="str">
        <x:v>What would make us stop or reshape?</x:v>
      </x:c>
      <x:c r="B13" s="22" t="str">
        <x:v>Public information cannot answer this</x:v>
      </x:c>
      <x:c r="C13" s="22" t="str">
        <x:v>Cannibalisation, weak conversion, uncompetitive price, poor economics, capacity constraints</x:v>
      </x:c>
      <x:c r="D13" s="22" t="str">
        <x:v>Agreed decision thresholds</x:v>
      </x:c>
      <x:c r="E13" s="22" t="str">
        <x:v>Business case working papers</x:v>
      </x:c>
      <x:c r="F13" s="22" t="str">
        <x:v>Sponsor + PBI</x:v>
      </x:c>
      <x:c r="G13" s="22" t="str">
        <x:v>Thresholds agreed before recommendation</x:v>
      </x:c>
      <x:c r="H13" s="22" t="str">
        <x:v>To define</x:v>
      </x:c>
      <x:c r="I13" s="22" t="str">
        <x:v>Avoid sunk-cost bias</x:v>
      </x:c>
      <x:c r="J13" s="22" t="str">
        <x:v>Agree decision criteria upfront</x:v>
      </x:c>
    </x:row>
    <x:row r="14">
      <x:c r="A14" s="22"/>
      <x:c r="B14" s="22"/>
      <x:c r="C14" s="22"/>
      <x:c r="D14" s="22"/>
      <x:c r="E14" s="22"/>
      <x:c r="F14" s="22"/>
      <x:c r="G14" s="22"/>
      <x:c r="H14" s="22"/>
      <x:c r="I14" s="22"/>
      <x:c r="J14" s="22"/>
    </x:row>
  </x:sheetData>
  <x:mergeCells>
    <x:mergeCell ref="A1:J1"/>
  </x:mergeCells>
  <x:conditionalFormatting sqref="H4:H14">
    <x:cfRule type="expression" dxfId="0" priority="1">
      <x:formula>H4="Publicly evidenced"</x:formula>
    </x:cfRule>
    <x:cfRule type="expression" dxfId="1" priority="2">
      <x:formula>H4="Partly evidenced"</x:formula>
    </x:cfRule>
    <x:cfRule type="expression" dxfId="2" priority="3">
      <x:formula>H4="Not evidenced"</x:formula>
    </x:cfRule>
  </x:conditionalFormatting>
  <x:dataValidations count="1">
    <x:dataValidation type="list" sqref="H4:H14">
      <x:formula1>"Publicly evidenced,Partly evidenced,Not evidenced,To define"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22" hidden="0" customWidth="1"/>
    <x:col min="3" max="3" width="24" hidden="0" customWidth="1"/>
    <x:col min="4" max="4" width="26" hidden="0" customWidth="1"/>
    <x:col min="5" max="5" width="44" hidden="0" customWidth="1"/>
    <x:col min="6" max="6" width="36" hidden="0" customWidth="1"/>
    <x:col min="7" max="7" width="32" hidden="0" customWidth="1"/>
    <x:col min="8" max="8" width="40" hidden="0" customWidth="1"/>
    <x:col min="9" max="9" width="38" hidden="0" customWidth="1"/>
    <x:col min="10" max="10" width="42" hidden="0" customWidth="1"/>
    <x:col min="11" max="11" width="18" hidden="0" customWidth="1"/>
  </x:cols>
  <x:sheetData>
    <x:row r="1" ht="30" customHeight="1">
      <x:c r="A1" s="6" t="str">
        <x:v>Comparator Program Review - Public Evidence Log</x:v>
      </x:c>
      <x:c r="B1" s="6" t="str">
        <x:v>Comparator Program Review - Public Evidence Log</x:v>
      </x:c>
      <x:c r="C1" s="6" t="str">
        <x:v>Comparator Program Review - Public Evidence Log</x:v>
      </x:c>
      <x:c r="D1" s="6" t="str">
        <x:v>Comparator Program Review - Public Evidence Log</x:v>
      </x:c>
      <x:c r="E1" s="6" t="str">
        <x:v>Comparator Program Review - Public Evidence Log</x:v>
      </x:c>
      <x:c r="F1" s="6" t="str">
        <x:v>Comparator Program Review - Public Evidence Log</x:v>
      </x:c>
      <x:c r="G1" s="6" t="str">
        <x:v>Comparator Program Review - Public Evidence Log</x:v>
      </x:c>
      <x:c r="H1" s="6" t="str">
        <x:v>Comparator Program Review - Public Evidence Log</x:v>
      </x:c>
      <x:c r="I1" s="6" t="str">
        <x:v>Comparator Program Review - Public Evidence Log</x:v>
      </x:c>
      <x:c r="J1" s="6" t="str">
        <x:v>Comparator Program Review - Public Evidence Log</x:v>
      </x:c>
      <x:c r="K1" s="6" t="str">
        <x:v>Comparator Program Review - Public Evidence Log</x:v>
      </x:c>
    </x:row>
    <x:row r="3">
      <x:c r="A3" s="20" t="str">
        <x:v>Provider / program</x:v>
      </x:c>
      <x:c r="B3" s="20" t="str">
        <x:v>Program code / award</x:v>
      </x:c>
      <x:c r="C3" s="20" t="str">
        <x:v>Delivery / duration</x:v>
      </x:c>
      <x:c r="D3" s="20" t="str">
        <x:v>2026 public fee signal</x:v>
      </x:c>
      <x:c r="E3" s="20" t="str">
        <x:v>Published proposition</x:v>
      </x:c>
      <x:c r="F3" s="20" t="str">
        <x:v>Likely target learner</x:v>
      </x:c>
      <x:c r="G3" s="20" t="str">
        <x:v>Potential overlap with illustrative concept</x:v>
      </x:c>
      <x:c r="H3" s="20" t="str">
        <x:v>What this tells me</x:v>
      </x:c>
      <x:c r="I3" s="20" t="str">
        <x:v>What it does not tell me</x:v>
      </x:c>
      <x:c r="J3" s="20" t="str">
        <x:v>Internal / external follow-up</x:v>
      </x:c>
      <x:c r="K3" s="20" t="str">
        <x:v>Source</x:v>
      </x:c>
    </x:row>
    <x:row r="4">
      <x:c r="A4" s="22" t="str">
        <x:v>UQ Graduate Certificate in Business Analytics</x:v>
      </x:c>
      <x:c r="B4" s="22" t="str">
        <x:v>5726 / AQF 8</x:v>
      </x:c>
      <x:c r="C4" s="22" t="str">
        <x:v>External; 1 year part-time</x:v>
      </x:c>
      <x:c r="D4" s="22" t="str">
        <x:v>Domestic CSP student contribution approx. $4,770; international indicative $25,016</x:v>
      </x:c>
      <x:c r="E4" s="22" t="str">
        <x:v>Business analytics, data-led decisions, responsible AI, industry exposure</x:v>
      </x:c>
      <x:c r="F4" s="22" t="str">
        <x:v>Working professionals seeking analytics capability</x:v>
      </x:c>
      <x:c r="G4" s="22" t="str">
        <x:v>High on analytics / AI; lower on service operating model</x:v>
      </x:c>
      <x:c r="H4" s="22" t="str">
        <x:v>UQ already has a short-form digital/data proposition</x:v>
      </x:c>
      <x:c r="I4" s="22" t="str">
        <x:v>Actual demand, conversion, cohort profile, satisfaction</x:v>
      </x:c>
      <x:c r="J4" s="22" t="str">
        <x:v>Pull applications, commencements, EFTSL, retention and learner profile</x:v>
      </x:c>
      <x:c r="K4" s="22" t="str">
        <x:v>UQ Study</x:v>
      </x:c>
    </x:row>
    <x:row r="5">
      <x:c r="A5" s="22" t="str">
        <x:v>UQ Master of Business Analytics</x:v>
      </x:c>
      <x:c r="B5" s="22" t="str">
        <x:v>5188 / AQF 9</x:v>
      </x:c>
      <x:c r="C5" s="22" t="str">
        <x:v>External; 3 years part-time</x:v>
      </x:c>
      <x:c r="D5" s="22" t="str">
        <x:v>Domestic CSP student contribution approx. $4,770 per 8 units; international indicative $25,016</x:v>
      </x:c>
      <x:c r="E5" s="22" t="str">
        <x:v>Analytics, visualisation, ML, GenAI, industry project</x:v>
      </x:c>
      <x:c r="F5" s="22" t="str">
        <x:v>Professionals seeking advanced analytics</x:v>
      </x:c>
      <x:c r="G5" s="22" t="str">
        <x:v>Medium-High</x:v>
      </x:c>
      <x:c r="H5" s="22" t="str">
        <x:v>A new concept needs a different outcome and cohort, not just different wording</x:v>
      </x:c>
      <x:c r="I5" s="22" t="str">
        <x:v>Actual demand and reasons students choose it</x:v>
      </x:c>
      <x:c r="J5" s="22" t="str">
        <x:v>Review application / yield / retention trend and field-of-origin</x:v>
      </x:c>
      <x:c r="K5" s="22" t="str">
        <x:v>UQ Study</x:v>
      </x:c>
    </x:row>
    <x:row r="6">
      <x:c r="A6" s="22" t="str">
        <x:v>UQ Master of Business</x:v>
      </x:c>
      <x:c r="B6" s="22" t="str">
        <x:v>5583 / AQF 9</x:v>
      </x:c>
      <x:c r="C6" s="22" t="str">
        <x:v>St Lucia; 1.5-2 years</x:v>
      </x:c>
      <x:c r="D6" s="22" t="str">
        <x:v>Domestic indicative $44,344; international $58,056</x:v>
      </x:c>
      <x:c r="E6" s="22" t="str">
        <x:v>Broad business degree; 9 fields including Information Systems and Marketing</x:v>
      </x:c>
      <x:c r="F6" s="22" t="str">
        <x:v>Career changers and professionals seeking business specialisation</x:v>
      </x:c>
      <x:c r="G6" s="22" t="str">
        <x:v>Medium</x:v>
      </x:c>
      <x:c r="H6" s="22" t="str">
        <x:v>A transformation concept may overlap with Information Systems / management pathways</x:v>
      </x:c>
      <x:c r="I6" s="22" t="str">
        <x:v>Course-level overlap and student substitution</x:v>
      </x:c>
      <x:c r="J6" s="22" t="str">
        <x:v>Map proposed curriculum to existing fields / electives</x:v>
      </x:c>
      <x:c r="K6" s="22" t="str">
        <x:v>UQ Study</x:v>
      </x:c>
    </x:row>
    <x:row r="7">
      <x:c r="A7" s="22" t="str">
        <x:v>UNSW Master of Commerce - Digital Transformation &amp; Technology Management</x:v>
      </x:c>
      <x:c r="B7" s="22" t="str">
        <x:v>Postgraduate specialisation</x:v>
      </x:c>
      <x:c r="C7" s="22" t="str">
        <x:v>Postgraduate; Sydney</x:v>
      </x:c>
      <x:c r="D7" s="22" t="str">
        <x:v>Not captured in this public scan</x:v>
      </x:c>
      <x:c r="E7" s="22" t="str">
        <x:v>Digital transformation, technology management, strategy, change, product/project roles</x:v>
      </x:c>
      <x:c r="F7" s="22" t="str">
        <x:v>Business professionals moving into digital transformation</x:v>
      </x:c>
      <x:c r="G7" s="22" t="str">
        <x:v>High on positioning</x:v>
      </x:c>
      <x:c r="H7" s="22" t="str">
        <x:v>Competitors already use 'digital transformation' as a clear market proposition</x:v>
      </x:c>
      <x:c r="I7" s="22" t="str">
        <x:v>Comparable demand, price and conversion</x:v>
      </x:c>
      <x:c r="J7" s="22" t="str">
        <x:v>Benchmark curriculum, format, entry and price on a like-for-like basis</x:v>
      </x:c>
      <x:c r="K7" s="22" t="str">
        <x:v>UNSW</x:v>
      </x:c>
    </x:row>
    <x:row r="8">
      <x:c r="A8" s="22" t="str">
        <x:v>Deakin Graduate Certificate of Digital Transformation &amp; Cyber Security</x:v>
      </x:c>
      <x:c r="B8" s="22" t="str">
        <x:v>M568 / AQF 8</x:v>
      </x:c>
      <x:c r="C8" s="22" t="str">
        <x:v>Online; 1 year part-time</x:v>
      </x:c>
      <x:c r="D8" s="22" t="str">
        <x:v>International published fee $22,100</x:v>
      </x:c>
      <x:c r="E8" s="22" t="str">
        <x:v>Digital transformation, AI/data, cyber and business change</x:v>
      </x:c>
      <x:c r="F8" s="22" t="str">
        <x:v>Working professionals needing short-form upskilling</x:v>
      </x:c>
      <x:c r="G8" s="22" t="str">
        <x:v>Medium-High</x:v>
      </x:c>
      <x:c r="H8" s="22" t="str">
        <x:v>Short-form online competitors can bundle transformation with a sharper technical theme</x:v>
      </x:c>
      <x:c r="I8" s="22" t="str">
        <x:v>Domestic demand and applicant quality</x:v>
      </x:c>
      <x:c r="J8" s="22" t="str">
        <x:v>Benchmark learner proposition and delivery flexibility</x:v>
      </x:c>
      <x:c r="K8" s="22" t="str">
        <x:v>Deakin</x:v>
      </x:c>
    </x:row>
    <x:row r="9">
      <x:c r="A9" s="22" t="str">
        <x:v>Deakin Master of Information Systems</x:v>
      </x:c>
      <x:c r="B9" s="22" t="str">
        <x:v>M722 / AQF 9</x:v>
      </x:c>
      <x:c r="C9" s="22" t="str">
        <x:v>Online/on-campus blend</x:v>
      </x:c>
      <x:c r="D9" s="22" t="str">
        <x:v>Not captured in this public scan</x:v>
      </x:c>
      <x:c r="E9" s="22" t="str">
        <x:v>Digital business analysis, transformation, data, governance, project management</x:v>
      </x:c>
      <x:c r="F9" s="22" t="str">
        <x:v>Professionals seeking broader IS / transformation capability</x:v>
      </x:c>
      <x:c r="G9" s="22" t="str">
        <x:v>High at curriculum level</x:v>
      </x:c>
      <x:c r="H9" s="22" t="str">
        <x:v>A UQ concept would need distinctive market positioning or a different credential format</x:v>
      </x:c>
      <x:c r="I9" s="22" t="str">
        <x:v>Demand and willingness to pay</x:v>
      </x:c>
      <x:c r="J9" s="22" t="str">
        <x:v>Use as external curriculum / proposition comparator</x:v>
      </x:c>
      <x:c r="K9" s="22" t="str">
        <x:v>Deakin</x:v>
      </x:c>
    </x:row>
    <x:row r="11">
      <x:c r="A11" s="12" t="str">
        <x:v>Why this sheet exists: UQ's Program Approval Procedure requires proposals to address potential duplication with existing programs and courses. A real market review would extend this public scan with internal UQ performance data and a broader competitor set; the rows above are evidence examples, not a finished market-sizing exercise.</x:v>
      </x:c>
      <x:c r="B11" s="12"/>
      <x:c r="C11" s="12"/>
      <x:c r="D11" s="12"/>
      <x:c r="E11" s="12"/>
      <x:c r="F11" s="12"/>
      <x:c r="G11" s="12"/>
      <x:c r="H11" s="12"/>
      <x:c r="I11" s="12"/>
      <x:c r="J11" s="12"/>
      <x:c r="K11" s="12"/>
    </x:row>
    <x:row r="12">
      <x:c r="A12" s="12"/>
      <x:c r="B12" s="12"/>
      <x:c r="C12" s="12"/>
      <x:c r="D12" s="12"/>
      <x:c r="E12" s="12"/>
      <x:c r="F12" s="12"/>
      <x:c r="G12" s="12"/>
      <x:c r="H12" s="12"/>
      <x:c r="I12" s="12"/>
      <x:c r="J12" s="12"/>
      <x:c r="K12" s="12"/>
    </x:row>
  </x:sheetData>
  <x:mergeCells>
    <x:mergeCell ref="A1:K1"/>
    <x:mergeCell ref="A11:K1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8" hidden="0" customWidth="1"/>
    <x:col min="3" max="3" width="20" hidden="0" customWidth="1"/>
    <x:col min="4" max="4" width="48" hidden="0" customWidth="1"/>
    <x:col min="5" max="5" width="36" hidden="0" customWidth="1"/>
    <x:col min="6" max="6" width="28" hidden="0" customWidth="1"/>
    <x:col min="7" max="7" width="30" hidden="0" customWidth="1"/>
    <x:col min="8" max="8" width="40" hidden="0" customWidth="1"/>
    <x:col min="9" max="9" width="36" hidden="0" customWidth="1"/>
    <x:col min="10" max="10" width="30" hidden="0" customWidth="1"/>
    <x:col min="11" max="11" width="32" hidden="0" customWidth="1"/>
  </x:cols>
  <x:sheetData>
    <x:row r="1" ht="30" customHeight="1">
      <x:c r="A1" s="6" t="str">
        <x:v>Data Pull Specification - What I Would Request Before Building the Business Case</x:v>
      </x:c>
      <x:c r="B1" s="6" t="str">
        <x:v>Data Pull Specification - What I Would Request Before Building the Business Case</x:v>
      </x:c>
      <x:c r="C1" s="6" t="str">
        <x:v>Data Pull Specification - What I Would Request Before Building the Business Case</x:v>
      </x:c>
      <x:c r="D1" s="6" t="str">
        <x:v>Data Pull Specification - What I Would Request Before Building the Business Case</x:v>
      </x:c>
      <x:c r="E1" s="6" t="str">
        <x:v>Data Pull Specification - What I Would Request Before Building the Business Case</x:v>
      </x:c>
      <x:c r="F1" s="6" t="str">
        <x:v>Data Pull Specification - What I Would Request Before Building the Business Case</x:v>
      </x:c>
      <x:c r="G1" s="6" t="str">
        <x:v>Data Pull Specification - What I Would Request Before Building the Business Case</x:v>
      </x:c>
      <x:c r="H1" s="6" t="str">
        <x:v>Data Pull Specification - What I Would Request Before Building the Business Case</x:v>
      </x:c>
      <x:c r="I1" s="6" t="str">
        <x:v>Data Pull Specification - What I Would Request Before Building the Business Case</x:v>
      </x:c>
      <x:c r="J1" s="6" t="str">
        <x:v>Data Pull Specification - What I Would Request Before Building the Business Case</x:v>
      </x:c>
      <x:c r="K1" s="6" t="str">
        <x:v>Data Pull Specification - What I Would Request Before Building the Business Case</x:v>
      </x:c>
    </x:row>
    <x:row r="3">
      <x:c r="A3" s="20" t="str">
        <x:v>Analysis area</x:v>
      </x:c>
      <x:c r="B3" s="20" t="str">
        <x:v>Grain</x:v>
      </x:c>
      <x:c r="C3" s="20" t="str">
        <x:v>Period</x:v>
      </x:c>
      <x:c r="D3" s="20" t="str">
        <x:v>Core dimensions / filters</x:v>
      </x:c>
      <x:c r="E3" s="20" t="str">
        <x:v>Measures</x:v>
      </x:c>
      <x:c r="F3" s="20" t="str">
        <x:v>Likely UQ source</x:v>
      </x:c>
      <x:c r="G3" s="20" t="str">
        <x:v>Derived metric</x:v>
      </x:c>
      <x:c r="H3" s="20" t="str">
        <x:v>QA / reconciliation</x:v>
      </x:c>
      <x:c r="I3" s="20" t="str">
        <x:v>Why needed</x:v>
      </x:c>
      <x:c r="J3" s="20" t="str">
        <x:v>Output</x:v>
      </x:c>
      <x:c r="K3" s="20" t="str">
        <x:v>Owner / partner</x:v>
      </x:c>
    </x:row>
    <x:row r="4">
      <x:c r="A4" s="22" t="str">
        <x:v>Demand pipeline</x:v>
      </x:c>
      <x:c r="B4" s="22" t="str">
        <x:v>Program x intake x applicant cohort</x:v>
      </x:c>
      <x:c r="C4" s="22" t="str">
        <x:v>5 years + current YTD</x:v>
      </x:c>
      <x:c r="D4" s="22" t="str">
        <x:v>Program code; semester; domestic/international; funding type; mode; source market</x:v>
      </x:c>
      <x:c r="E4" s="22" t="str">
        <x:v>Applications; offers; acceptances; commencements</x:v>
      </x:c>
      <x:c r="F4" s="22" t="str">
        <x:v>UQ Reportal / admissions</x:v>
      </x:c>
      <x:c r="G4" s="22" t="str">
        <x:v>Offer rate; acceptance rate; commencement conversion</x:v>
      </x:c>
      <x:c r="H4" s="22" t="str">
        <x:v>Reconcile offer-round totals; exclude duplicate/withdrawn records consistently</x:v>
      </x:c>
      <x:c r="I4" s="22" t="str">
        <x:v>Set realistic intake assumptions</x:v>
      </x:c>
      <x:c r="J4" s="22" t="str">
        <x:v>Demand trend / funnel</x:v>
      </x:c>
      <x:c r="K4" s="22" t="str">
        <x:v>PBI + Admissions / Future Students</x:v>
      </x:c>
    </x:row>
    <x:row r="5">
      <x:c r="A5" s="22" t="str">
        <x:v>Student load</x:v>
      </x:c>
      <x:c r="B5" s="22" t="str">
        <x:v>Program x semester x funding type</x:v>
      </x:c>
      <x:c r="C5" s="22" t="str">
        <x:v>5 years + forecast horizon</x:v>
      </x:c>
      <x:c r="D5" s="22" t="str">
        <x:v>Program; faculty; semester; funding type; new/returning</x:v>
      </x:c>
      <x:c r="E5" s="22" t="str">
        <x:v>EFTSL; income</x:v>
      </x:c>
      <x:c r="F5" s="22" t="str">
        <x:v>Load Model / Reportal</x:v>
      </x:c>
      <x:c r="G5" s="22" t="str">
        <x:v>New vs returning load; income per EFTSL</x:v>
      </x:c>
      <x:c r="H5" s="22" t="str">
        <x:v>Reconcile series 1 / series 2 views and model totals</x:v>
      </x:c>
      <x:c r="I5" s="22" t="str">
        <x:v>Budget and capacity impact</x:v>
      </x:c>
      <x:c r="J5" s="22" t="str">
        <x:v>Load / income scenario</x:v>
      </x:c>
      <x:c r="K5" s="22" t="str">
        <x:v>PBI Load Analysis</x:v>
      </x:c>
    </x:row>
    <x:row r="6">
      <x:c r="A6" s="22" t="str">
        <x:v>Retention / progression</x:v>
      </x:c>
      <x:c r="B6" s="22" t="str">
        <x:v>Program x equivalent year x semester</x:v>
      </x:c>
      <x:c r="C6" s="22" t="str">
        <x:v>4-5 cohorts</x:v>
      </x:c>
      <x:c r="D6" s="22" t="str">
        <x:v>Program; funding type; domestic/international; entry cohort</x:v>
      </x:c>
      <x:c r="E6" s="22" t="str">
        <x:v>Retention; continuing load; attrition</x:v>
      </x:c>
      <x:c r="F6" s="22" t="str">
        <x:v>Load Model / Reportal</x:v>
      </x:c>
      <x:c r="G6" s="22" t="str">
        <x:v>Year-on-year retention; returning EFTSL</x:v>
      </x:c>
      <x:c r="H6" s="22" t="str">
        <x:v>Define denominator consistently and account for transfers</x:v>
      </x:c>
      <x:c r="I6" s="22" t="str">
        <x:v>Avoid overstating outer-year load</x:v>
      </x:c>
      <x:c r="J6" s="22" t="str">
        <x:v>Retention assumption</x:v>
      </x:c>
      <x:c r="K6" s="22" t="str">
        <x:v>PBI</x:v>
      </x:c>
    </x:row>
    <x:row r="7">
      <x:c r="A7" s="22" t="str">
        <x:v>Comparable program performance</x:v>
      </x:c>
      <x:c r="B7" s="22" t="str">
        <x:v>Program / plan</x:v>
      </x:c>
      <x:c r="C7" s="22" t="str">
        <x:v>5 years</x:v>
      </x:c>
      <x:c r="D7" s="22" t="str">
        <x:v>Program; field/plan; mode; campus; cohort</x:v>
      </x:c>
      <x:c r="E7" s="22" t="str">
        <x:v>Applications; commencements; EFTSL; completions</x:v>
      </x:c>
      <x:c r="F7" s="22" t="str">
        <x:v>Reportal</x:v>
      </x:c>
      <x:c r="G7" s="22" t="str">
        <x:v>Trend; market share within UQ portfolio; substitution signal</x:v>
      </x:c>
      <x:c r="H7" s="22" t="str">
        <x:v>Use stable program codes / handle restructures</x:v>
      </x:c>
      <x:c r="I7" s="22" t="str">
        <x:v>Test cannibalisation and portfolio fit</x:v>
      </x:c>
      <x:c r="J7" s="22" t="str">
        <x:v>Comparator performance table</x:v>
      </x:c>
      <x:c r="K7" s="22" t="str">
        <x:v>PBI + Faculty</x:v>
      </x:c>
    </x:row>
    <x:row r="8">
      <x:c r="A8" s="22" t="str">
        <x:v>Fees / income</x:v>
      </x:c>
      <x:c r="B8" s="22" t="str">
        <x:v>Program x student funding category</x:v>
      </x:c>
      <x:c r="C8" s="22" t="str">
        <x:v>Current + forward fee cycle</x:v>
      </x:c>
      <x:c r="D8" s="22" t="str">
        <x:v>CSP; domestic FFP; international; load</x:v>
      </x:c>
      <x:c r="E8" s="22" t="str">
        <x:v>Published fee / student contribution; modelled income</x:v>
      </x:c>
      <x:c r="F8" s="22" t="str">
        <x:v>Student Enrolments &amp; Fees / Load Model / Finance</x:v>
      </x:c>
      <x:c r="G8" s="22" t="str">
        <x:v>Income per EFTSL; price gap vs comparator</x:v>
      </x:c>
      <x:c r="H8" s="22" t="str">
        <x:v>Separate student price from university income</x:v>
      </x:c>
      <x:c r="I8" s="22" t="str">
        <x:v>Pricing / viability recommendation</x:v>
      </x:c>
      <x:c r="J8" s="22" t="str">
        <x:v>Pricing table</x:v>
      </x:c>
      <x:c r="K8" s="22" t="str">
        <x:v>PBI + Enrolments &amp; Fees + Finance</x:v>
      </x:c>
    </x:row>
    <x:row r="9">
      <x:c r="A9" s="22" t="str">
        <x:v>Student / graduate outcomes</x:v>
      </x:c>
      <x:c r="B9" s="22" t="str">
        <x:v>Program / field</x:v>
      </x:c>
      <x:c r="C9" s="22" t="str">
        <x:v>Latest available survey cohorts</x:v>
      </x:c>
      <x:c r="D9" s="22" t="str">
        <x:v>Program / discipline; domestic/international where valid</x:v>
      </x:c>
      <x:c r="E9" s="22" t="str">
        <x:v>Student experience; graduate outcome / employment indicators</x:v>
      </x:c>
      <x:c r="F9" s="22" t="str">
        <x:v>PBI surveys / dashboards</x:v>
      </x:c>
      <x:c r="G9" s="22" t="str">
        <x:v>Outcome comparison</x:v>
      </x:c>
      <x:c r="H9" s="22" t="str">
        <x:v>Respect suppression / small-n rules</x:v>
      </x:c>
      <x:c r="I9" s="22" t="str">
        <x:v>Value proposition evidence</x:v>
      </x:c>
      <x:c r="J9" s="22" t="str">
        <x:v>Outcome benchmark</x:v>
      </x:c>
      <x:c r="K9" s="22" t="str">
        <x:v>PBI Strategic Analysis</x:v>
      </x:c>
    </x:row>
    <x:row r="10">
      <x:c r="A10" s="22" t="str">
        <x:v>Market / competitor</x:v>
      </x:c>
      <x:c r="B10" s="22" t="str">
        <x:v>Provider x program</x:v>
      </x:c>
      <x:c r="C10" s="22" t="str">
        <x:v>Current offering</x:v>
      </x:c>
      <x:c r="D10" s="22" t="str">
        <x:v>Award level; mode; duration; entry; price; proposition</x:v>
      </x:c>
      <x:c r="E10" s="22" t="str">
        <x:v>Public price; duration; delivery; curriculum themes</x:v>
      </x:c>
      <x:c r="F10" s="22" t="str">
        <x:v>Public websites + approved market research</x:v>
      </x:c>
      <x:c r="G10" s="22" t="str">
        <x:v>Price / format / positioning comparison</x:v>
      </x:c>
      <x:c r="H10" s="22" t="str">
        <x:v>Use same year and comparable award level</x:v>
      </x:c>
      <x:c r="I10" s="22" t="str">
        <x:v>External demand / positioning</x:v>
      </x:c>
      <x:c r="J10" s="22" t="str">
        <x:v>Market evidence log</x:v>
      </x:c>
      <x:c r="K10" s="22" t="str">
        <x:v>PBI + Customer Analytics / Research</x:v>
      </x:c>
    </x:row>
    <x:row r="11">
      <x:c r="A11" s="22" t="str">
        <x:v>Delivery capacity</x:v>
      </x:c>
      <x:c r="B11" s="22" t="str">
        <x:v>Course / teaching unit / resource</x:v>
      </x:c>
      <x:c r="C11" s="22" t="str">
        <x:v>Launch year + first 3 years</x:v>
      </x:c>
      <x:c r="D11" s="22" t="str">
        <x:v>Course ownership; teaching period; mode; staffing</x:v>
      </x:c>
      <x:c r="E11" s="22" t="str">
        <x:v>Teaching capacity; new course count; systems / timetable needs</x:v>
      </x:c>
      <x:c r="F11" s="22" t="str">
        <x:v>Faculty / ITaLI / Academic systems</x:v>
      </x:c>
      <x:c r="G11" s="22" t="str">
        <x:v>Incremental delivery requirement</x:v>
      </x:c>
      <x:c r="H11" s="22" t="str">
        <x:v>Confirm shared vs incremental resource</x:v>
      </x:c>
      <x:c r="I11" s="22" t="str">
        <x:v>Feasibility and cost</x:v>
      </x:c>
      <x:c r="J11" s="22" t="str">
        <x:v>Delivery constraint log</x:v>
      </x:c>
      <x:c r="K11" s="22" t="str">
        <x:v>Faculty + ITaLI</x:v>
      </x:c>
    </x:row>
    <x:row r="12">
      <x:c r="A12" s="22"/>
      <x:c r="B12" s="22"/>
      <x:c r="C12" s="22"/>
      <x:c r="D12" s="22"/>
      <x:c r="E12" s="22"/>
      <x:c r="F12" s="22"/>
      <x:c r="G12" s="22"/>
      <x:c r="H12" s="22"/>
      <x:c r="I12" s="22"/>
      <x:c r="J12" s="22"/>
      <x:c r="K12" s="22"/>
    </x:row>
  </x:sheetData>
  <x:mergeCells>
    <x:mergeCell ref="A1:K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14" hidden="0" customWidth="1"/>
    <x:col min="4" max="4" width="18" hidden="0" customWidth="1"/>
    <x:col min="5" max="5" width="18" hidden="0" customWidth="1"/>
    <x:col min="6" max="6" width="22" hidden="0" customWidth="1"/>
    <x:col min="7" max="7" width="15" hidden="0" customWidth="1"/>
    <x:col min="8" max="8" width="20" hidden="0" customWidth="1"/>
    <x:col min="9" max="9" width="22" hidden="0" customWidth="1"/>
    <x:col min="10" max="10" width="36" hidden="0" customWidth="1"/>
  </x:cols>
  <x:sheetData>
    <x:row r="1" ht="30" customHeight="1">
      <x:c r="A1" s="6" t="str">
        <x:v>Demand and Load Model - Synthetic Example</x:v>
      </x:c>
      <x:c r="B1" s="6" t="str">
        <x:v>Demand and Load Model - Synthetic Example</x:v>
      </x:c>
      <x:c r="C1" s="6" t="str">
        <x:v>Demand and Load Model - Synthetic Example</x:v>
      </x:c>
      <x:c r="D1" s="6" t="str">
        <x:v>Demand and Load Model - Synthetic Example</x:v>
      </x:c>
      <x:c r="E1" s="6" t="str">
        <x:v>Demand and Load Model - Synthetic Example</x:v>
      </x:c>
      <x:c r="F1" s="6" t="str">
        <x:v>Demand and Load Model - Synthetic Example</x:v>
      </x:c>
      <x:c r="G1" s="6" t="str">
        <x:v>Demand and Load Model - Synthetic Example</x:v>
      </x:c>
      <x:c r="H1" s="6" t="str">
        <x:v>Demand and Load Model - Synthetic Example</x:v>
      </x:c>
      <x:c r="I1" s="6" t="str">
        <x:v>Demand and Load Model - Synthetic Example</x:v>
      </x:c>
      <x:c r="J1" s="6" t="str">
        <x:v>Demand and Load Model - Synthetic Example</x:v>
      </x:c>
    </x:row>
    <x:row r="3">
      <x:c r="A3" s="20" t="str">
        <x:v>Scenario</x:v>
      </x:c>
      <x:c r="B3" s="20" t="str">
        <x:v>Applications</x:v>
      </x:c>
      <x:c r="C3" s="20" t="str">
        <x:v>Offer rate</x:v>
      </x:c>
      <x:c r="D3" s="20" t="str">
        <x:v>Acceptance rate</x:v>
      </x:c>
      <x:c r="E3" s="20" t="str">
        <x:v>Commencements</x:v>
      </x:c>
      <x:c r="F3" s="20" t="str">
        <x:v>EFTSL / commencing student</x:v>
      </x:c>
      <x:c r="G3" s="20" t="str">
        <x:v>New EFTSL</x:v>
      </x:c>
      <x:c r="H3" s="20" t="str">
        <x:v>Retention into next year</x:v>
      </x:c>
      <x:c r="I3" s="20" t="str">
        <x:v>Returning EFTSL (Yr 2)</x:v>
      </x:c>
      <x:c r="J3" s="20" t="str">
        <x:v>Interpretation</x:v>
      </x:c>
    </x:row>
    <x:row r="4">
      <x:c r="A4" s="22" t="str">
        <x:v>Low</x:v>
      </x:c>
      <x:c r="B4" s="22" t="n">
        <x:v>120</x:v>
      </x:c>
      <x:c r="C4" s="30" t="n">
        <x:v>0.7</x:v>
      </x:c>
      <x:c r="D4" s="30" t="n">
        <x:v>0.5</x:v>
      </x:c>
      <x:c r="E4" s="22" t="n">
        <x:f>ROUND(B4*C4*D4,0)</x:f>
        <x:v>42</x:v>
      </x:c>
      <x:c r="F4" s="31" t="n">
        <x:v>0.5</x:v>
      </x:c>
      <x:c r="G4" s="32" t="n">
        <x:f>E4*F4</x:f>
        <x:v>21</x:v>
      </x:c>
      <x:c r="H4" s="30" t="n">
        <x:v>0.7</x:v>
      </x:c>
      <x:c r="I4" s="32" t="n">
        <x:f>G4*H4</x:f>
        <x:v>14.7</x:v>
      </x:c>
      <x:c r="J4" s="22" t="str">
        <x:v>Weak market response or substantial overlap</x:v>
      </x:c>
    </x:row>
    <x:row r="5">
      <x:c r="A5" s="22" t="str">
        <x:v>Base</x:v>
      </x:c>
      <x:c r="B5" s="22" t="n">
        <x:v>220</x:v>
      </x:c>
      <x:c r="C5" s="30" t="n">
        <x:v>0.75</x:v>
      </x:c>
      <x:c r="D5" s="30" t="n">
        <x:v>0.58</x:v>
      </x:c>
      <x:c r="E5" s="22" t="n">
        <x:f>ROUND(B5*C5*D5,0)</x:f>
        <x:v>96</x:v>
      </x:c>
      <x:c r="F5" s="31" t="n">
        <x:v>0.5</x:v>
      </x:c>
      <x:c r="G5" s="32" t="n">
        <x:f>E5*F5</x:f>
        <x:v>48</x:v>
      </x:c>
      <x:c r="H5" s="30" t="n">
        <x:v>0.78</x:v>
      </x:c>
      <x:c r="I5" s="32" t="n">
        <x:f>G5*H5</x:f>
        <x:v>37.44</x:v>
      </x:c>
      <x:c r="J5" s="22" t="str">
        <x:v>Illustrative planning case only</x:v>
      </x:c>
    </x:row>
    <x:row r="6">
      <x:c r="A6" s="22" t="str">
        <x:v>High</x:v>
      </x:c>
      <x:c r="B6" s="22" t="n">
        <x:v>340</x:v>
      </x:c>
      <x:c r="C6" s="30" t="n">
        <x:v>0.78</x:v>
      </x:c>
      <x:c r="D6" s="30" t="n">
        <x:v>0.64</x:v>
      </x:c>
      <x:c r="E6" s="22" t="n">
        <x:f>ROUND(B6*C6*D6,0)</x:f>
        <x:v>170</x:v>
      </x:c>
      <x:c r="F6" s="31" t="n">
        <x:v>0.5</x:v>
      </x:c>
      <x:c r="G6" s="32" t="n">
        <x:f>E6*F6</x:f>
        <x:v>85</x:v>
      </x:c>
      <x:c r="H6" s="30" t="n">
        <x:v>0.82</x:v>
      </x:c>
      <x:c r="I6" s="32" t="n">
        <x:f>G6*H6</x:f>
        <x:v>69.7</x:v>
      </x:c>
      <x:c r="J6" s="22" t="str">
        <x:v>Upside sensitivity; not the approval case</x:v>
      </x:c>
    </x:row>
    <x:row r="7">
      <x:c r="A7" s="22"/>
      <x:c r="B7" s="22"/>
      <x:c r="C7" s="22"/>
      <x:c r="D7" s="22"/>
      <x:c r="E7" s="22"/>
      <x:c r="F7" s="22"/>
      <x:c r="G7" s="22"/>
      <x:c r="H7" s="22"/>
      <x:c r="I7" s="22"/>
      <x:c r="J7" s="22"/>
    </x:row>
    <x:row r="9">
      <x:c r="A9" s="12" t="str">
        <x:v>This sheet deliberately starts at applications rather than 'market size'. In a real case I would replace the synthetic inputs with UQ comparator-program history, offer-round / acceptance data and Load Model retention assumptions, then reconcile commencements to EFTSL.</x:v>
      </x:c>
      <x:c r="B9" s="12"/>
      <x:c r="C9" s="12"/>
      <x:c r="D9" s="12"/>
      <x:c r="E9" s="12"/>
      <x:c r="F9" s="12"/>
      <x:c r="G9" s="12"/>
      <x:c r="H9" s="12"/>
      <x:c r="I9" s="12"/>
      <x:c r="J9" s="12"/>
    </x:row>
    <x:row r="10">
      <x:c r="A10" s="12"/>
      <x:c r="B10" s="12"/>
      <x:c r="C10" s="12"/>
      <x:c r="D10" s="12"/>
      <x:c r="E10" s="12"/>
      <x:c r="F10" s="12"/>
      <x:c r="G10" s="12"/>
      <x:c r="H10" s="12"/>
      <x:c r="I10" s="12"/>
      <x:c r="J10" s="12"/>
    </x:row>
  </x:sheetData>
  <x:mergeCells>
    <x:mergeCell ref="A1:J1"/>
    <x:mergeCell ref="A9:J10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24" hidden="0" customWidth="1"/>
    <x:col min="4" max="4" width="22" hidden="0" customWidth="1"/>
    <x:col min="5" max="5" width="24" hidden="0" customWidth="1"/>
    <x:col min="6" max="6" width="24" hidden="0" customWidth="1"/>
    <x:col min="7" max="7" width="24" hidden="0" customWidth="1"/>
    <x:col min="8" max="8" width="20" hidden="0" customWidth="1"/>
    <x:col min="9" max="9" width="22" hidden="0" customWidth="1"/>
    <x:col min="10" max="10" width="22" hidden="0" customWidth="1"/>
    <x:col min="11" max="11" width="34" hidden="0" customWidth="1"/>
  </x:cols>
  <x:sheetData>
    <x:row r="1" ht="30" customHeight="1">
      <x:c r="A1" s="6" t="str">
        <x:v>Pricing and Viability - Synthetic Sensitivity</x:v>
      </x:c>
      <x:c r="B1" s="6" t="str">
        <x:v>Pricing and Viability - Synthetic Sensitivity</x:v>
      </x:c>
      <x:c r="C1" s="6" t="str">
        <x:v>Pricing and Viability - Synthetic Sensitivity</x:v>
      </x:c>
      <x:c r="D1" s="6" t="str">
        <x:v>Pricing and Viability - Synthetic Sensitivity</x:v>
      </x:c>
      <x:c r="E1" s="6" t="str">
        <x:v>Pricing and Viability - Synthetic Sensitivity</x:v>
      </x:c>
      <x:c r="F1" s="6" t="str">
        <x:v>Pricing and Viability - Synthetic Sensitivity</x:v>
      </x:c>
      <x:c r="G1" s="6" t="str">
        <x:v>Pricing and Viability - Synthetic Sensitivity</x:v>
      </x:c>
      <x:c r="H1" s="6" t="str">
        <x:v>Pricing and Viability - Synthetic Sensitivity</x:v>
      </x:c>
      <x:c r="I1" s="6" t="str">
        <x:v>Pricing and Viability - Synthetic Sensitivity</x:v>
      </x:c>
      <x:c r="J1" s="6" t="str">
        <x:v>Pricing and Viability - Synthetic Sensitivity</x:v>
      </x:c>
      <x:c r="K1" s="6" t="str">
        <x:v>Pricing and Viability - Synthetic Sensitivity</x:v>
      </x:c>
    </x:row>
    <x:row r="3">
      <x:c r="A3" s="20" t="str">
        <x:v>Scenario</x:v>
      </x:c>
      <x:c r="B3" s="20" t="str">
        <x:v>Commencements</x:v>
      </x:c>
      <x:c r="C3" s="20" t="str">
        <x:v>Illustrative annual price / student</x:v>
      </x:c>
      <x:c r="D3" s="20" t="str">
        <x:v>Gross student price value</x:v>
      </x:c>
      <x:c r="E3" s="20" t="str">
        <x:v>Illustrative net income / student</x:v>
      </x:c>
      <x:c r="F3" s="20" t="str">
        <x:v>Variable incremental cost / student</x:v>
      </x:c>
      <x:c r="G3" s="20" t="str">
        <x:v>Fixed incremental delivery cost</x:v>
      </x:c>
      <x:c r="H3" s="20" t="str">
        <x:v>Launch / setup cost</x:v>
      </x:c>
      <x:c r="I3" s="20" t="str">
        <x:v>Indicative contribution</x:v>
      </x:c>
      <x:c r="J3" s="20" t="str">
        <x:v>Break-even commencements</x:v>
      </x:c>
      <x:c r="K3" s="20" t="str">
        <x:v>Comment</x:v>
      </x:c>
    </x:row>
    <x:row r="4">
      <x:c r="A4" s="22" t="str">
        <x:v>Low</x:v>
      </x:c>
      <x:c r="B4" s="22" t="n">
        <x:f>'Demand Model'!E4</x:f>
        <x:v>42</x:v>
      </x:c>
      <x:c r="C4" s="38" t="n">
        <x:v>13000</x:v>
      </x:c>
      <x:c r="D4" s="38" t="n">
        <x:f>B4*C4</x:f>
        <x:v>546000</x:v>
      </x:c>
      <x:c r="E4" s="38" t="n">
        <x:v>11500</x:v>
      </x:c>
      <x:c r="F4" s="38" t="n">
        <x:v>3200</x:v>
      </x:c>
      <x:c r="G4" s="38" t="n">
        <x:v>180000</x:v>
      </x:c>
      <x:c r="H4" s="38" t="n">
        <x:v>90000</x:v>
      </x:c>
      <x:c r="I4" s="38" t="n">
        <x:f>(B4*E4)-(B4*F4)-G4-H4</x:f>
        <x:v>78600</x:v>
      </x:c>
      <x:c r="J4" s="32" t="n">
        <x:f>IF(E4-F4&lt;=0,"N/A",(G4+H4)/(E4-F4))</x:f>
        <x:v>32.53012048192771</x:v>
      </x:c>
      <x:c r="K4" s="22" t="str">
        <x:v>Downside only</x:v>
      </x:c>
    </x:row>
    <x:row r="5">
      <x:c r="A5" s="22" t="str">
        <x:v>Base</x:v>
      </x:c>
      <x:c r="B5" s="22" t="n">
        <x:f>'Demand Model'!E5</x:f>
        <x:v>96</x:v>
      </x:c>
      <x:c r="C5" s="38" t="n">
        <x:v>16000</x:v>
      </x:c>
      <x:c r="D5" s="38" t="n">
        <x:f>B5*C5</x:f>
        <x:v>1536000</x:v>
      </x:c>
      <x:c r="E5" s="38" t="n">
        <x:v>14000</x:v>
      </x:c>
      <x:c r="F5" s="38" t="n">
        <x:v>3200</x:v>
      </x:c>
      <x:c r="G5" s="38" t="n">
        <x:v>180000</x:v>
      </x:c>
      <x:c r="H5" s="38" t="n">
        <x:v>90000</x:v>
      </x:c>
      <x:c r="I5" s="38" t="n">
        <x:f>(B5*E5)-(B5*F5)-G5-H5</x:f>
        <x:v>766800</x:v>
      </x:c>
      <x:c r="J5" s="32" t="n">
        <x:f>IF(E5-F5&lt;=0,"N/A",(G5+H5)/(E5-F5))</x:f>
        <x:v>25</x:v>
      </x:c>
      <x:c r="K5" s="22" t="str">
        <x:v>Illustrative central case</x:v>
      </x:c>
    </x:row>
    <x:row r="6">
      <x:c r="A6" s="22" t="str">
        <x:v>High</x:v>
      </x:c>
      <x:c r="B6" s="22" t="n">
        <x:f>'Demand Model'!E6</x:f>
        <x:v>170</x:v>
      </x:c>
      <x:c r="C6" s="38" t="n">
        <x:v>19000</x:v>
      </x:c>
      <x:c r="D6" s="38" t="n">
        <x:f>B6*C6</x:f>
        <x:v>3230000</x:v>
      </x:c>
      <x:c r="E6" s="38" t="n">
        <x:v>16500</x:v>
      </x:c>
      <x:c r="F6" s="38" t="n">
        <x:v>3000</x:v>
      </x:c>
      <x:c r="G6" s="38" t="n">
        <x:v>190000</x:v>
      </x:c>
      <x:c r="H6" s="38" t="n">
        <x:v>110000</x:v>
      </x:c>
      <x:c r="I6" s="38" t="n">
        <x:f>(B6*E6)-(B6*F6)-G6-H6</x:f>
        <x:v>1995000</x:v>
      </x:c>
      <x:c r="J6" s="32" t="n">
        <x:f>IF(E6-F6&lt;=0,"N/A",(G6+H6)/(E6-F6))</x:f>
        <x:v>22.22222222222222</x:v>
      </x:c>
      <x:c r="K6" s="22" t="str">
        <x:v>Upside sensitivity only</x:v>
      </x:c>
    </x:row>
    <x:row r="7">
      <x:c r="A7" s="22"/>
      <x:c r="B7" s="22"/>
      <x:c r="C7" s="22"/>
      <x:c r="D7" s="22"/>
      <x:c r="E7" s="22"/>
      <x:c r="F7" s="22"/>
      <x:c r="G7" s="22"/>
      <x:c r="H7" s="22"/>
      <x:c r="I7" s="22"/>
      <x:c r="J7" s="22"/>
      <x:c r="K7" s="22"/>
    </x:row>
    <x:row r="9">
      <x:c r="A9" s="12" t="str">
        <x:v>Important distinction: a student's published fee / contribution is not necessarily the same as UQ's income per student or per EFTSL. A real business case would model the applicable funding category and internal income logic with PBI / Finance / Student Enrolments &amp; Fees.</x:v>
      </x:c>
      <x:c r="B9" s="12"/>
      <x:c r="C9" s="12"/>
      <x:c r="D9" s="12"/>
      <x:c r="E9" s="12"/>
      <x:c r="F9" s="12"/>
      <x:c r="G9" s="12"/>
      <x:c r="H9" s="12"/>
      <x:c r="I9" s="12"/>
      <x:c r="J9" s="12"/>
      <x:c r="K9" s="12"/>
    </x:row>
    <x:row r="10">
      <x:c r="A10" s="12"/>
      <x:c r="B10" s="12"/>
      <x:c r="C10" s="12"/>
      <x:c r="D10" s="12"/>
      <x:c r="E10" s="12"/>
      <x:c r="F10" s="12"/>
      <x:c r="G10" s="12"/>
      <x:c r="H10" s="12"/>
      <x:c r="I10" s="12"/>
      <x:c r="J10" s="12"/>
      <x:c r="K10" s="12"/>
    </x:row>
  </x:sheetData>
  <x:mergeCells>
    <x:mergeCell ref="A1:K1"/>
    <x:mergeCell ref="A9:K10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6" hidden="0" customWidth="1"/>
    <x:col min="3" max="3" width="46" hidden="0" customWidth="1"/>
    <x:col min="4" max="4" width="44" hidden="0" customWidth="1"/>
    <x:col min="5" max="5" width="16" hidden="0" customWidth="1"/>
    <x:col min="6" max="6" width="40" hidden="0" customWidth="1"/>
    <x:col min="7" max="7" width="32" hidden="0" customWidth="1"/>
    <x:col min="8" max="8" width="34" hidden="0" customWidth="1"/>
    <x:col min="9" max="9" width="34" hidden="0" customWidth="1"/>
  </x:cols>
  <x:sheetData>
    <x:row r="1" ht="30" customHeight="1">
      <x:c r="A1" s="6" t="str">
        <x:v>Working Decision Note</x:v>
      </x:c>
      <x:c r="B1" s="6" t="str">
        <x:v>Working Decision Note</x:v>
      </x:c>
      <x:c r="C1" s="6" t="str">
        <x:v>Working Decision Note</x:v>
      </x:c>
      <x:c r="D1" s="6" t="str">
        <x:v>Working Decision Note</x:v>
      </x:c>
      <x:c r="E1" s="6" t="str">
        <x:v>Working Decision Note</x:v>
      </x:c>
      <x:c r="F1" s="6" t="str">
        <x:v>Working Decision Note</x:v>
      </x:c>
      <x:c r="G1" s="6" t="str">
        <x:v>Working Decision Note</x:v>
      </x:c>
      <x:c r="H1" s="6" t="str">
        <x:v>Working Decision Note</x:v>
      </x:c>
      <x:c r="I1" s="6" t="str">
        <x:v>Working Decision Note</x:v>
      </x:c>
    </x:row>
    <x:row r="3">
      <x:c r="A3" s="20" t="str">
        <x:v>Question</x:v>
      </x:c>
      <x:c r="B3" s="20" t="str">
        <x:v>Evidence status</x:v>
      </x:c>
      <x:c r="C3" s="20" t="str">
        <x:v>What I can say now</x:v>
      </x:c>
      <x:c r="D3" s="20" t="str">
        <x:v>What is still missing</x:v>
      </x:c>
      <x:c r="E3" s="20" t="str">
        <x:v>Materiality</x:v>
      </x:c>
      <x:c r="F3" s="20" t="str">
        <x:v>Recommended next step</x:v>
      </x:c>
      <x:c r="G3" s="20" t="str">
        <x:v>Owner / partner</x:v>
      </x:c>
      <x:c r="H3" s="20" t="str">
        <x:v>Decision consequence</x:v>
      </x:c>
      <x:c r="I3" s="20" t="str">
        <x:v>Source / note</x:v>
      </x:c>
    </x:row>
    <x:row r="4">
      <x:c r="A4" s="22" t="str">
        <x:v>Strategic fit</x:v>
      </x:c>
      <x:c r="B4" s="22" t="str">
        <x:v>Amber</x:v>
      </x:c>
      <x:c r="C4" s="22" t="str">
        <x:v>The idea is directionally consistent with future-focused postgraduate education and PBI's program-development remit.</x:v>
      </x:c>
      <x:c r="D4" s="22" t="str">
        <x:v>Faculty-specific problem and sponsor rationale</x:v>
      </x:c>
      <x:c r="E4" s="22" t="str">
        <x:v>Medium</x:v>
      </x:c>
      <x:c r="F4" s="22" t="str">
        <x:v>Confirm sponsor problem before deeper analysis</x:v>
      </x:c>
      <x:c r="G4" s="22" t="str">
        <x:v>Faculty + PBI</x:v>
      </x:c>
      <x:c r="H4" s="22" t="str">
        <x:v>No sponsor problem = stop</x:v>
      </x:c>
      <x:c r="I4" s="22" t="str">
        <x:v>Public strategy / PBI</x:v>
      </x:c>
    </x:row>
    <x:row r="5">
      <x:c r="A5" s="22" t="str">
        <x:v>Portfolio fit / duplication</x:v>
      </x:c>
      <x:c r="B5" s="22" t="str">
        <x:v>Amber</x:v>
      </x:c>
      <x:c r="C5" s="22" t="str">
        <x:v>Existing UQ analytics and business programs create a real overlap question.</x:v>
      </x:c>
      <x:c r="D5" s="22" t="str">
        <x:v>Internal comparable-program performance and curriculum mapping</x:v>
      </x:c>
      <x:c r="E5" s="22" t="str">
        <x:v>High</x:v>
      </x:c>
      <x:c r="F5" s="22" t="str">
        <x:v>Test cannibalisation and whitespace</x:v>
      </x:c>
      <x:c r="G5" s="22" t="str">
        <x:v>PBI + Faculty</x:v>
      </x:c>
      <x:c r="H5" s="22" t="str">
        <x:v>High overlap = reshape or stop</x:v>
      </x:c>
      <x:c r="I5" s="22" t="str">
        <x:v>Program approval explicitly requires duplication to be addressed</x:v>
      </x:c>
    </x:row>
    <x:row r="6">
      <x:c r="A6" s="22" t="str">
        <x:v>Demand</x:v>
      </x:c>
      <x:c r="B6" s="22" t="str">
        <x:v>Red</x:v>
      </x:c>
      <x:c r="C6" s="22" t="str">
        <x:v>Public sources do not establish enough program-specific demand.</x:v>
      </x:c>
      <x:c r="D6" s="22" t="str">
        <x:v>Applications, offers, acceptances, commencements, market research</x:v>
      </x:c>
      <x:c r="E6" s="22" t="str">
        <x:v>High</x:v>
      </x:c>
      <x:c r="F6" s="22" t="str">
        <x:v>Build demand trend and target-cohort evidence</x:v>
      </x:c>
      <x:c r="G6" s="22" t="str">
        <x:v>PBI + Future Students + Customer Research</x:v>
      </x:c>
      <x:c r="H6" s="22" t="str">
        <x:v>Weak conversion = stop / reduce scale</x:v>
      </x:c>
      <x:c r="I6" s="22" t="str">
        <x:v>Internal data required</x:v>
      </x:c>
    </x:row>
    <x:row r="7">
      <x:c r="A7" s="22" t="str">
        <x:v>Load / admissions</x:v>
      </x:c>
      <x:c r="B7" s="22" t="str">
        <x:v>Red</x:v>
      </x:c>
      <x:c r="C7" s="22" t="str">
        <x:v>No defensible intake or EFTSL case can be made from public information.</x:v>
      </x:c>
      <x:c r="D7" s="22" t="str">
        <x:v>Load Model, retention and admissions target evidence</x:v>
      </x:c>
      <x:c r="E7" s="22" t="str">
        <x:v>High</x:v>
      </x:c>
      <x:c r="F7" s="22" t="str">
        <x:v>Model new and returning EFTSL</x:v>
      </x:c>
      <x:c r="G7" s="22" t="str">
        <x:v>PBI Load Analysis</x:v>
      </x:c>
      <x:c r="H7" s="22" t="str">
        <x:v>Feeds budget and offer target</x:v>
      </x:c>
      <x:c r="I7" s="22" t="str">
        <x:v>Internal data required</x:v>
      </x:c>
    </x:row>
    <x:row r="8">
      <x:c r="A8" s="22" t="str">
        <x:v>Price / viability</x:v>
      </x:c>
      <x:c r="B8" s="22" t="str">
        <x:v>Red</x:v>
      </x:c>
      <x:c r="C8" s="22" t="str">
        <x:v>Public fee benchmarks exist, but internal income and incremental costs do not.</x:v>
      </x:c>
      <x:c r="D8" s="22" t="str">
        <x:v>Funding type, income, delivery cost and acquisition cost</x:v>
      </x:c>
      <x:c r="E8" s="22" t="str">
        <x:v>High</x:v>
      </x:c>
      <x:c r="F8" s="22" t="str">
        <x:v>Build sensitivity with Finance / Fees</x:v>
      </x:c>
      <x:c r="G8" s="22" t="str">
        <x:v>PBI + Finance + Enrolments &amp; Fees</x:v>
      </x:c>
      <x:c r="H8" s="22" t="str">
        <x:v>Poor economics = stop / redesign</x:v>
      </x:c>
      <x:c r="I8" s="22" t="str">
        <x:v>Internal data required</x:v>
      </x:c>
    </x:row>
    <x:row r="9">
      <x:c r="A9" s="22" t="str">
        <x:v>Delivery / governance</x:v>
      </x:c>
      <x:c r="B9" s="22" t="str">
        <x:v>Amber</x:v>
      </x:c>
      <x:c r="C9" s="22" t="str">
        <x:v>Approval pathway and consultation expectations are public.</x:v>
      </x:c>
      <x:c r="D9" s="22" t="str">
        <x:v>Faculty resources, teaching design, timetable and launch readiness</x:v>
      </x:c>
      <x:c r="E9" s="22" t="str">
        <x:v>Medium</x:v>
      </x:c>
      <x:c r="F9" s="22" t="str">
        <x:v>Validate feasibility and critical path</x:v>
      </x:c>
      <x:c r="G9" s="22" t="str">
        <x:v>Faculty + Academic Policy + ITaLI</x:v>
      </x:c>
      <x:c r="H9" s="22" t="str">
        <x:v>Capacity / policy issue may delay launch</x:v>
      </x:c>
      <x:c r="I9" s="22" t="str">
        <x:v>Program Approval Procedure</x:v>
      </x:c>
    </x:row>
    <x:row r="10">
      <x:c r="A10" s="22"/>
      <x:c r="B10" s="22"/>
      <x:c r="C10" s="22"/>
      <x:c r="D10" s="22"/>
      <x:c r="E10" s="22"/>
      <x:c r="F10" s="22"/>
      <x:c r="G10" s="22"/>
      <x:c r="H10" s="22"/>
      <x:c r="I10" s="22"/>
    </x:row>
    <x:row r="12">
      <x:c r="A12" s="12" t="str">
        <x:v>Current view: do not move to a full business case yet. First validate the target market, portfolio whitespace and a realistic intake/load case. If those are weak, reshape or stop the concept before investing more academic and analytical effort.</x:v>
      </x:c>
      <x:c r="B12" s="12"/>
      <x:c r="C12" s="12"/>
      <x:c r="D12" s="12"/>
      <x:c r="E12" s="12"/>
      <x:c r="F12" s="12"/>
      <x:c r="G12" s="12"/>
      <x:c r="H12" s="12"/>
      <x:c r="I12" s="12"/>
    </x:row>
    <x:row r="13">
      <x:c r="A13" s="12"/>
      <x:c r="B13" s="12"/>
      <x:c r="C13" s="12"/>
      <x:c r="D13" s="12"/>
      <x:c r="E13" s="12"/>
      <x:c r="F13" s="12"/>
      <x:c r="G13" s="12"/>
      <x:c r="H13" s="12"/>
      <x:c r="I13" s="12"/>
    </x:row>
  </x:sheetData>
  <x:mergeCells>
    <x:mergeCell ref="A1:I1"/>
    <x:mergeCell ref="A12:I13"/>
  </x:mergeCells>
  <x:conditionalFormatting sqref="B4:B9">
    <x:cfRule type="expression" dxfId="3" priority="1">
      <x:formula>B4="Green"</x:formula>
    </x:cfRule>
    <x:cfRule type="expression" dxfId="4" priority="2">
      <x:formula>B4="Amber"</x:formula>
    </x:cfRule>
    <x:cfRule type="expression" dxfId="5" priority="3">
      <x:formula>B4="Red"</x:formula>
    </x:cfRule>
  </x:conditionalFormatting>
  <x:dataValidations count="1">
    <x:dataValidation type="list" sqref="B4:B9">
      <x:formula1>"Green,Amber,Red"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8" hidden="0" customWidth="1"/>
    <x:col min="3" max="3" width="44" hidden="0" customWidth="1"/>
    <x:col min="4" max="4" width="30" hidden="0" customWidth="1"/>
    <x:col min="5" max="5" width="32" hidden="0" customWidth="1"/>
    <x:col min="6" max="6" width="38" hidden="0" customWidth="1"/>
    <x:col min="7" max="7" width="30" hidden="0" customWidth="1"/>
    <x:col min="8" max="8" width="30" hidden="0" customWidth="1"/>
    <x:col min="9" max="9" width="34" hidden="0" customWidth="1"/>
    <x:col min="10" max="10" width="28" hidden="0" customWidth="1"/>
  </x:cols>
  <x:sheetData>
    <x:row r="1" ht="30" customHeight="1">
      <x:c r="A1" s="6" t="str">
        <x:v>Program Development Analysis Workplan</x:v>
      </x:c>
      <x:c r="B1" s="6" t="str">
        <x:v>Program Development Analysis Workplan</x:v>
      </x:c>
      <x:c r="C1" s="6" t="str">
        <x:v>Program Development Analysis Workplan</x:v>
      </x:c>
      <x:c r="D1" s="6" t="str">
        <x:v>Program Development Analysis Workplan</x:v>
      </x:c>
      <x:c r="E1" s="6" t="str">
        <x:v>Program Development Analysis Workplan</x:v>
      </x:c>
      <x:c r="F1" s="6" t="str">
        <x:v>Program Development Analysis Workplan</x:v>
      </x:c>
      <x:c r="G1" s="6" t="str">
        <x:v>Program Development Analysis Workplan</x:v>
      </x:c>
      <x:c r="H1" s="6" t="str">
        <x:v>Program Development Analysis Workplan</x:v>
      </x:c>
      <x:c r="I1" s="6" t="str">
        <x:v>Program Development Analysis Workplan</x:v>
      </x:c>
      <x:c r="J1" s="6" t="str">
        <x:v>Program Development Analysis Workplan</x:v>
      </x:c>
    </x:row>
    <x:row r="3">
      <x:c r="A3" s="20" t="str">
        <x:v>Stage</x:v>
      </x:c>
      <x:c r="B3" s="20" t="str">
        <x:v>Decision question</x:v>
      </x:c>
      <x:c r="C3" s="20" t="str">
        <x:v>Data / evidence</x:v>
      </x:c>
      <x:c r="D3" s="20" t="str">
        <x:v>Method</x:v>
      </x:c>
      <x:c r="E3" s="20" t="str">
        <x:v>Stakeholder</x:v>
      </x:c>
      <x:c r="F3" s="20" t="str">
        <x:v>Working session / action</x:v>
      </x:c>
      <x:c r="G3" s="20" t="str">
        <x:v>Output</x:v>
      </x:c>
      <x:c r="H3" s="20" t="str">
        <x:v>Dependency</x:v>
      </x:c>
      <x:c r="I3" s="20" t="str">
        <x:v>Quality check</x:v>
      </x:c>
      <x:c r="J3" s="20" t="str">
        <x:v>Exit condition</x:v>
      </x:c>
    </x:row>
    <x:row r="4">
      <x:c r="A4" s="22" t="str">
        <x:v>1. Frame</x:v>
      </x:c>
      <x:c r="B4" s="22" t="str">
        <x:v>What problem is the program solving and for whom?</x:v>
      </x:c>
      <x:c r="C4" s="22" t="str">
        <x:v>Sponsor brief; strategy; existing portfolio</x:v>
      </x:c>
      <x:c r="D4" s="22" t="str">
        <x:v>Problem framing + assumption log</x:v>
      </x:c>
      <x:c r="E4" s="22" t="str">
        <x:v>Faculty sponsor + PBI</x:v>
      </x:c>
      <x:c r="F4" s="22" t="str">
        <x:v>60-minute scoping session</x:v>
      </x:c>
      <x:c r="G4" s="22" t="str">
        <x:v>1-page analysis brief</x:v>
      </x:c>
      <x:c r="H4" s="22" t="str">
        <x:v>Named sponsor</x:v>
      </x:c>
      <x:c r="I4" s="22" t="str">
        <x:v>Problem / cohort / outcome explicitly defined</x:v>
      </x:c>
      <x:c r="J4" s="22" t="str">
        <x:v>Clear question and scope</x:v>
      </x:c>
    </x:row>
    <x:row r="5">
      <x:c r="A5" s="22" t="str">
        <x:v>2. Internal portfolio</x:v>
      </x:c>
      <x:c r="B5" s="22" t="str">
        <x:v>Is UQ already serving this need?</x:v>
      </x:c>
      <x:c r="C5" s="22" t="str">
        <x:v>Applications; commencements; EFTSL; program/plan; curriculum</x:v>
      </x:c>
      <x:c r="D5" s="22" t="str">
        <x:v>Trend + overlap review</x:v>
      </x:c>
      <x:c r="E5" s="22" t="str">
        <x:v>PBI + Faculty</x:v>
      </x:c>
      <x:c r="F5" s="22" t="str">
        <x:v>Review comparable UQ programs</x:v>
      </x:c>
      <x:c r="G5" s="22" t="str">
        <x:v>Comparator evidence table</x:v>
      </x:c>
      <x:c r="H5" s="22" t="str">
        <x:v>Program codes / consistent history</x:v>
      </x:c>
      <x:c r="I5" s="22" t="str">
        <x:v>Handle program restructures / mode differences</x:v>
      </x:c>
      <x:c r="J5" s="22" t="str">
        <x:v>Whitespace hypothesis</x:v>
      </x:c>
    </x:row>
    <x:row r="6">
      <x:c r="A6" s="22" t="str">
        <x:v>3. External market</x:v>
      </x:c>
      <x:c r="B6" s="22" t="str">
        <x:v>How is the need served elsewhere?</x:v>
      </x:c>
      <x:c r="C6" s="22" t="str">
        <x:v>Competitor award, mode, duration, price, proposition; approved market research</x:v>
      </x:c>
      <x:c r="D6" s="22" t="str">
        <x:v>Comparator / segment review</x:v>
      </x:c>
      <x:c r="E6" s="22" t="str">
        <x:v>Customer Analytics / Research + Future Students</x:v>
      </x:c>
      <x:c r="F6" s="22" t="str">
        <x:v>Validate target learner and competitor set</x:v>
      </x:c>
      <x:c r="G6" s="22" t="str">
        <x:v>Market evidence note</x:v>
      </x:c>
      <x:c r="H6" s="22" t="str">
        <x:v>Comparable award level and year</x:v>
      </x:c>
      <x:c r="I6" s="22" t="str">
        <x:v>Like-for-like comparisons</x:v>
      </x:c>
      <x:c r="J6" s="22" t="str">
        <x:v>Demand hypothesis</x:v>
      </x:c>
    </x:row>
    <x:row r="7">
      <x:c r="A7" s="22" t="str">
        <x:v>4. Demand &amp; load</x:v>
      </x:c>
      <x:c r="B7" s="22" t="str">
        <x:v>What intake is plausible and what load follows?</x:v>
      </x:c>
      <x:c r="C7" s="22" t="str">
        <x:v>Applications, offers, acceptances, commencements, retention, EFTSL</x:v>
      </x:c>
      <x:c r="D7" s="22" t="str">
        <x:v>Funnel + load scenario</x:v>
      </x:c>
      <x:c r="E7" s="22" t="str">
        <x:v>PBI Load Analysis</x:v>
      </x:c>
      <x:c r="F7" s="22" t="str">
        <x:v>Calibrate low/base/high with comparator history</x:v>
      </x:c>
      <x:c r="G7" s="22" t="str">
        <x:v>Demand/load model</x:v>
      </x:c>
      <x:c r="H7" s="22" t="str">
        <x:v>Access to internal data</x:v>
      </x:c>
      <x:c r="I7" s="22" t="str">
        <x:v>Reconcile headcount, EFTSL, new/returning</x:v>
      </x:c>
      <x:c r="J7" s="22" t="str">
        <x:v>Defensible intake range</x:v>
      </x:c>
    </x:row>
    <x:row r="8">
      <x:c r="A8" s="22" t="str">
        <x:v>5. Price / viability</x:v>
      </x:c>
      <x:c r="B8" s="22" t="str">
        <x:v>At what price/funding basis is it viable?</x:v>
      </x:c>
      <x:c r="C8" s="22" t="str">
        <x:v>Fee benchmarks; funding; income; incremental costs</x:v>
      </x:c>
      <x:c r="D8" s="22" t="str">
        <x:v>Sensitivity + break-even</x:v>
      </x:c>
      <x:c r="E8" s="22" t="str">
        <x:v>PBI + Enrolments &amp; Fees + Finance</x:v>
      </x:c>
      <x:c r="F8" s="22" t="str">
        <x:v>Review assumptions and cost ownership</x:v>
      </x:c>
      <x:c r="G8" s="22" t="str">
        <x:v>Viability table</x:v>
      </x:c>
      <x:c r="H8" s="22" t="str">
        <x:v>Funding type and cost model</x:v>
      </x:c>
      <x:c r="I8" s="22" t="str">
        <x:v>Separate student price from UQ income</x:v>
      </x:c>
      <x:c r="J8" s="22" t="str">
        <x:v>Economic case / no case</x:v>
      </x:c>
    </x:row>
    <x:row r="9">
      <x:c r="A9" s="22" t="str">
        <x:v>6. Feasibility</x:v>
      </x:c>
      <x:c r="B9" s="22" t="str">
        <x:v>Can it be delivered on the proposed timeline?</x:v>
      </x:c>
      <x:c r="C9" s="22" t="str">
        <x:v>Academic capacity; learning design; systems; timetable; policy</x:v>
      </x:c>
      <x:c r="D9" s="22" t="str">
        <x:v>Constraint / critical-path review</x:v>
      </x:c>
      <x:c r="E9" s="22" t="str">
        <x:v>Faculty + ITaLI + Academic Policy</x:v>
      </x:c>
      <x:c r="F9" s="22" t="str">
        <x:v>Feasibility workshop</x:v>
      </x:c>
      <x:c r="G9" s="22" t="str">
        <x:v>Constraint log + launch path</x:v>
      </x:c>
      <x:c r="H9" s="22" t="str">
        <x:v>Academic ownership</x:v>
      </x:c>
      <x:c r="I9" s="22" t="str">
        <x:v>All material dependencies named</x:v>
      </x:c>
      <x:c r="J9" s="22" t="str">
        <x:v>Feasible launch window</x:v>
      </x:c>
    </x:row>
    <x:row r="10">
      <x:c r="A10" s="22" t="str">
        <x:v>7. Recommendation</x:v>
      </x:c>
      <x:c r="B10" s="22" t="str">
        <x:v>Proceed, validate, reshape or stop?</x:v>
      </x:c>
      <x:c r="C10" s="22" t="str">
        <x:v>All evidence above</x:v>
      </x:c>
      <x:c r="D10" s="22" t="str">
        <x:v>Decision note, not another model</x:v>
      </x:c>
      <x:c r="E10" s="22" t="str">
        <x:v>PBI + sponsor + approvers</x:v>
      </x:c>
      <x:c r="F10" s="22" t="str">
        <x:v>Pre-wire recommendation and unresolved risks</x:v>
      </x:c>
      <x:c r="G10" s="22" t="str">
        <x:v>Program Development Business Case input / decision brief</x:v>
      </x:c>
      <x:c r="H10" s="22" t="str">
        <x:v>Evidence quality</x:v>
      </x:c>
      <x:c r="I10" s="22" t="str">
        <x:v>Facts / assumptions / judgement separated</x:v>
      </x:c>
      <x:c r="J10" s="22" t="str">
        <x:v>Sponsor decision</x:v>
      </x:c>
    </x:row>
    <x:row r="11">
      <x:c r="A11" s="22"/>
      <x:c r="B11" s="22"/>
      <x:c r="C11" s="22"/>
      <x:c r="D11" s="22"/>
      <x:c r="E11" s="22"/>
      <x:c r="F11" s="22"/>
      <x:c r="G11" s="22"/>
      <x:c r="H11" s="22"/>
      <x:c r="I11" s="22"/>
      <x:c r="J11" s="22"/>
    </x:row>
  </x:sheetData>
  <x:mergeCells>
    <x:mergeCell ref="A1:J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46" hidden="0" customWidth="1"/>
    <x:col min="2" max="2" width="56" hidden="0" customWidth="1"/>
    <x:col min="3" max="3" width="86" hidden="0" customWidth="1"/>
  </x:cols>
  <x:sheetData>
    <x:row r="1" ht="30" customHeight="1">
      <x:c r="A1" s="6" t="str">
        <x:v>Public Sources Used</x:v>
      </x:c>
      <x:c r="B1" s="6" t="str">
        <x:v>Public Sources Used</x:v>
      </x:c>
      <x:c r="C1" s="6" t="str">
        <x:v>Public Sources Used</x:v>
      </x:c>
    </x:row>
    <x:row r="3">
      <x:c r="A3" s="20" t="str">
        <x:v>Source</x:v>
      </x:c>
      <x:c r="B3" s="20" t="str">
        <x:v>Use in workbook</x:v>
      </x:c>
      <x:c r="C3" s="20" t="str">
        <x:v>URL</x:v>
      </x:c>
    </x:row>
    <x:row r="4">
      <x:c r="A4" s="22" t="str">
        <x:v>UQ Planning and Business Intelligence - About</x:v>
      </x:c>
      <x:c r="B4" s="22" t="str">
        <x:v>PBI remit, team and program-development responsibilities</x:v>
      </x:c>
      <x:c r="C4" s="22" t="str">
        <x:v>https://www.pbi.uq.edu.au/Content/About.aspx</x:v>
      </x:c>
    </x:row>
    <x:row r="5">
      <x:c r="A5" s="22" t="str">
        <x:v>UQ Student Load Planning</x:v>
      </x:c>
      <x:c r="B5" s="22" t="str">
        <x:v>Load model purpose and admissions target context</x:v>
      </x:c>
      <x:c r="C5" s="22" t="str">
        <x:v>https://www.pbi.uq.edu.au/Content/LoadPlanning.aspx</x:v>
      </x:c>
    </x:row>
    <x:row r="6">
      <x:c r="A6" s="22" t="str">
        <x:v>UQ Student Load Model FAQ</x:v>
      </x:c>
      <x:c r="B6" s="22" t="str">
        <x:v>New/returning EFTSL, retention, income and reporting logic</x:v>
      </x:c>
      <x:c r="C6" s="22" t="str">
        <x:v>https://www.pbi.uq.edu.au/Content/LoadModelFAQ.aspx</x:v>
      </x:c>
    </x:row>
    <x:row r="7">
      <x:c r="A7" s="22" t="str">
        <x:v>UQ Reportal / BusinessObjects 4.3</x:v>
      </x:c>
      <x:c r="B7" s="22" t="str">
        <x:v>Reporting environment and available corporate data</x:v>
      </x:c>
      <x:c r="C7" s="22" t="str">
        <x:v>https://www.pbi.uq.edu.au/content/UQReportalUpgrade.aspx</x:v>
      </x:c>
    </x:row>
    <x:row r="8">
      <x:c r="A8" s="22" t="str">
        <x:v>UQ Reportal Training</x:v>
      </x:c>
      <x:c r="B8" s="22" t="str">
        <x:v>BusinessObjects learning path</x:v>
      </x:c>
      <x:c r="C8" s="22" t="str">
        <x:v>https://www.pbi.uq.edu.au/Content/TrainingCourses.aspx</x:v>
      </x:c>
    </x:row>
    <x:row r="9">
      <x:c r="A9" s="22" t="str">
        <x:v>UQ Central Teams to Support Program Development</x:v>
      </x:c>
      <x:c r="B9" s="22" t="str">
        <x:v>Stakeholder operating model</x:v>
      </x:c>
      <x:c r="C9" s="22" t="str">
        <x:v>https://www.pbi.uq.edu.au/Content/ProgramDevelopment/ProgramDevelopmentCentralTeamSupport.aspx</x:v>
      </x:c>
    </x:row>
    <x:row r="10">
      <x:c r="A10" s="22" t="str">
        <x:v>UQ Program Approval Procedure</x:v>
      </x:c>
      <x:c r="B10" s="22" t="str">
        <x:v>Business case gate and duplication / consultation requirements</x:v>
      </x:c>
      <x:c r="C10" s="22" t="str">
        <x:v>https://policies.uq.edu.au/document/view-current.php?id=214</x:v>
      </x:c>
    </x:row>
    <x:row r="11">
      <x:c r="A11" s="22" t="str">
        <x:v>UQ Environmental Scan 2026</x:v>
      </x:c>
      <x:c r="B11" s="22" t="str">
        <x:v>Higher education market / policy context</x:v>
      </x:c>
      <x:c r="C11" s="22" t="str">
        <x:v>https://www.pbi.uq.edu.au/Content/environmentalscan.aspx</x:v>
      </x:c>
    </x:row>
    <x:row r="12">
      <x:c r="A12" s="22" t="str">
        <x:v>UQ Key Statistics</x:v>
      </x:c>
      <x:c r="B12" s="22" t="str">
        <x:v>2025 UQ student, load and revenue context</x:v>
      </x:c>
      <x:c r="C12" s="22" t="str">
        <x:v>https://www.pbi.uq.edu.au/ClientServices/UQStatistics/default.aspx</x:v>
      </x:c>
    </x:row>
    <x:row r="13">
      <x:c r="A13" s="22" t="str">
        <x:v>UQ Graduate Certificate in Business Analytics</x:v>
      </x:c>
      <x:c r="B13" s="22" t="str">
        <x:v>Internal comparator</x:v>
      </x:c>
      <x:c r="C13" s="22" t="str">
        <x:v>https://study.uq.edu.au/study-options/programs/graduate-certificate-business-analytics-5726?year=2026</x:v>
      </x:c>
    </x:row>
    <x:row r="14">
      <x:c r="A14" s="22" t="str">
        <x:v>UQ Master of Business Analytics</x:v>
      </x:c>
      <x:c r="B14" s="22" t="str">
        <x:v>Internal comparator</x:v>
      </x:c>
      <x:c r="C14" s="22" t="str">
        <x:v>https://study.uq.edu.au/study-options/programs/master-business-analytics-5188?year=2026</x:v>
      </x:c>
    </x:row>
    <x:row r="15">
      <x:c r="A15" s="22" t="str">
        <x:v>UQ Master of Business</x:v>
      </x:c>
      <x:c r="B15" s="22" t="str">
        <x:v>Internal comparator</x:v>
      </x:c>
      <x:c r="C15" s="22" t="str">
        <x:v>https://study.uq.edu.au/study-options/programs/master-business-5583?year=2026</x:v>
      </x:c>
    </x:row>
    <x:row r="16">
      <x:c r="A16" s="22" t="str">
        <x:v>UNSW Digital Transformation and Technology Management</x:v>
      </x:c>
      <x:c r="B16" s="22" t="str">
        <x:v>External positioning comparator</x:v>
      </x:c>
      <x:c r="C16" s="22" t="str">
        <x:v>https://www.unsw.edu.au/business/study-with-us/study-areas/Digital-transformation</x:v>
      </x:c>
    </x:row>
    <x:row r="17">
      <x:c r="A17" s="22" t="str">
        <x:v>Deakin Graduate Certificate of Digital Transformation and Cyber Security</x:v>
      </x:c>
      <x:c r="B17" s="22" t="str">
        <x:v>External short-form comparator</x:v>
      </x:c>
      <x:c r="C17" s="22" t="str">
        <x:v>https://handbook.deakin.edu.au/courses-search/course.php?course=M568&amp;stutype=international&amp;year=2026</x:v>
      </x:c>
    </x:row>
    <x:row r="18">
      <x:c r="A18" t="str">
        <x:v>Deakin Master of Information Systems</x:v>
      </x:c>
      <x:c r="B18" t="str">
        <x:v>External curriculum / positioning comparator</x:v>
      </x:c>
      <x:c r="C18" t="str">
        <x:v>https://handbook.deakin.edu.au/future-students-courses/course.php?course=M722&amp;stutype=local&amp;year=2026</x:v>
      </x:c>
    </x:row>
  </x:sheetData>
  <x:mergeCells>
    <x:mergeCell ref="A1:C1"/>
  </x:mergeCells>
  <x:pageMargins left="0.7" right="0.7" top="0.75" bottom="0.75" header="0.3" footer="0.3"/>
</x:worksheet>
</file>